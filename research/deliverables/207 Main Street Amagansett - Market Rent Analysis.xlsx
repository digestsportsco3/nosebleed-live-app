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Comparable Properties" sheetId="2" state="visible" r:id="rId4"/>
    <sheet name="Executed Transactions" sheetId="3" state="visible" r:id="rId5"/>
    <sheet name="Historical Listings" sheetId="4" state="visible" r:id="rId6"/>
    <sheet name="Adjustments" sheetId="5" state="visible" r:id="rId7"/>
    <sheet name="Market Rent Analysis" sheetId="6" state="visible" r:id="rId8"/>
    <sheet name="Sensitivity Analysis" sheetId="7" state="visible" r:id="rId9"/>
    <sheet name="Sources" sheetId="8" state="visible" r:id="rId10"/>
  </sheets>
  <definedNames>
    <definedName function="false" hidden="false" localSheetId="1" name="_xlnm.Print_Titles" vbProcedure="false">'Comparable Properties'!$1:$4</definedName>
    <definedName function="false" hidden="false" localSheetId="2" name="_xlnm.Print_Titles" vbProcedure="false">'Executed Transactions'!$1:$4</definedName>
    <definedName function="false" hidden="false" localSheetId="3" name="_xlnm.Print_Titles" vbProcedure="false">'Historical Listings'!$1:$4</definedName>
    <definedName function="false" hidden="false" localSheetId="7" name="_xlnm.Print_Titles" vbProcedure="false">Sources!$1:$4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<sst xmlns="http://schemas.openxmlformats.org/spreadsheetml/2006/main" count="1736" uniqueCount="1162">
  <si>
    <t xml:space="preserve">207 Main Street, Amagansett — Market Rent Analysis</t>
  </si>
  <si>
    <t xml:space="preserve">Commercial market rent assessment, effective 2026-10-07. Rent basis: annual base rent per SF, triple-net (NNN) unless labelled otherwise.</t>
  </si>
  <si>
    <t xml:space="preserve">Built from '207 Main Street, Amagansett — Commercial Market Rent Assessment' (research/reports). All outputs are live formulas driven by the three master inputs below.</t>
  </si>
  <si>
    <t xml:space="preserve">MASTER INPUTS (edit these cells; every other tab links here)</t>
  </si>
  <si>
    <t xml:space="preserve">Input</t>
  </si>
  <si>
    <t xml:space="preserve">Value</t>
  </si>
  <si>
    <t xml:space="preserve">Unit</t>
  </si>
  <si>
    <t xml:space="preserve">Provenance / source</t>
  </si>
  <si>
    <t xml:space="preserve">Building area</t>
  </si>
  <si>
    <t xml:space="preserve">SF</t>
  </si>
  <si>
    <t xml:space="preserve">Broker-reported, unverified: every source traces to the 2016 Douglas Elliman listing ('The one story building is 1100 sf', quoted by Patch [9]) and the former operator's memoir [18]. No government record confirms it (NYS roll has no building-area field [1]; PropertyShark 'not shown' [3]). CB 50% coverage cap on ~2,178 SF lot ≈ 1,089 SF [6].</t>
  </si>
  <si>
    <t xml:space="preserve">Current monthly rent</t>
  </si>
  <si>
    <t xml:space="preserve">$/month</t>
  </si>
  <si>
    <t xml:space="preserve">Client-provided. Lease type (gross vs NNN), term, escalations and whether this is the lease assigned in 2017 are Unknown.</t>
  </si>
  <si>
    <t xml:space="preserve">NNN load assumption</t>
  </si>
  <si>
    <t xml:space="preserve">$/SF/yr</t>
  </si>
  <si>
    <t xml:space="preserve">Report-derived ESTIMATE, range $5.00–$8.75: taxes $1.38–$3.22/SF on small village buildings [68]–[71]; subject taxes ~$2.96/SF [3]; 74A taxes $4.92/SF [31]; stated all-in Amagansett NNN $8.94/SF at 2095 Montauk [42]; national benchmark $4–$8/SF [72]. Insurance/maintenance unsourced.</t>
  </si>
  <si>
    <t xml:space="preserve">SUBJECT PROPERTY</t>
  </si>
  <si>
    <t xml:space="preserve">Address</t>
  </si>
  <si>
    <t xml:space="preserve">207 Main Street, Amagansett, NY 11930 (Town of East Hampton, Suffolk County); north side of Main St (NY-27), between 203 Main St and the Town parking lot at 209 Main St</t>
  </si>
  <si>
    <t xml:space="preserve">[2]</t>
  </si>
  <si>
    <t xml:space="preserve">Parcel</t>
  </si>
  <si>
    <t xml:space="preserve">SCTM 300-171-1-18 (print key 171.-1-18), SWIS 472489</t>
  </si>
  <si>
    <t xml:space="preserve">[1][7] Grade A</t>
  </si>
  <si>
    <t xml:space="preserve">Owner of record</t>
  </si>
  <si>
    <t xml:space="preserve">Amagansett Associates, 146 Oxford Blvd, Garden City, NY 11530 (every roll year 2021–2025; also owns 203 Main St)</t>
  </si>
  <si>
    <t xml:space="preserve">[1][2] Grade A</t>
  </si>
  <si>
    <t xml:space="preserve">Property class</t>
  </si>
  <si>
    <t xml:space="preserve">483 'Converted Residence' (not 421 Restaurant)</t>
  </si>
  <si>
    <t xml:space="preserve">[1] Grade A</t>
  </si>
  <si>
    <t xml:space="preserve">Building SF</t>
  </si>
  <si>
    <t xml:space="preserve">[9][18] Grade B/C</t>
  </si>
  <si>
    <t xml:space="preserve">Lot</t>
  </si>
  <si>
    <t xml:space="preserve">0.05 acre, about 2,178 SF (could be ~1,960–2,370 SF given rounding); below the CB minimum lot area of 3,000 SF</t>
  </si>
  <si>
    <t xml:space="preserve">[3][11][6]</t>
  </si>
  <si>
    <t xml:space="preserve">Historic status</t>
  </si>
  <si>
    <t xml:space="preserve">Town Code ch. 255, App. A § A-5(C)(1): one of nine historic commercial buildings ('First Great Atlantic and Pacific Tea Company (The Coach Factory Store)'); alterations and signage go to the ARB</t>
  </si>
  <si>
    <t xml:space="preserve">[4][7] Grade A</t>
  </si>
  <si>
    <t xml:space="preserve">Zoning</t>
  </si>
  <si>
    <t xml:space="preserve">Central Business (CB), highly probable but not confirmed on a zoning map; restaurant and take-out food store permitted (P) in CB per the 2018 use table</t>
  </si>
  <si>
    <t xml:space="preserve">[4][5][7] Grade A</t>
  </si>
  <si>
    <t xml:space="preserve">Parking / patio / kitchen</t>
  </si>
  <si>
    <t xml:space="preserve">No on-site parking (adjoins Town lot); patio: yes; kitchen 'not much bigger than a bathroom'</t>
  </si>
  <si>
    <t xml:space="preserve">[2][9][18]</t>
  </si>
  <si>
    <t xml:space="preserve">Current operation</t>
  </si>
  <si>
    <t xml:space="preserve">Organic Krush (since June 2017); posted hours Fri–Mon; seasonal winter closures</t>
  </si>
  <si>
    <t xml:space="preserve">[19][22][24]</t>
  </si>
  <si>
    <t xml:space="preserve">Real estate taxes (2025-26)</t>
  </si>
  <si>
    <t xml:space="preserve">[3] Grade D</t>
  </si>
  <si>
    <t xml:space="preserve">Real estate taxes $/SF</t>
  </si>
  <si>
    <t xml:space="preserve">ESTIMATE</t>
  </si>
  <si>
    <t xml:space="preserve">CURRENT RENT</t>
  </si>
  <si>
    <t xml:space="preserve">Master input</t>
  </si>
  <si>
    <t xml:space="preserve">Current annual rent</t>
  </si>
  <si>
    <t xml:space="preserve">Monthly × 12</t>
  </si>
  <si>
    <t xml:space="preserve">Current $/SF/yr</t>
  </si>
  <si>
    <t xml:space="preserve">Annual ÷ SF (report: $54.55 at 1,100 SF)</t>
  </si>
  <si>
    <t xml:space="preserve">If gross: net-equivalent $/SF/yr</t>
  </si>
  <si>
    <t xml:space="preserve">Current $/SF less NNN load (report: about $47.55)</t>
  </si>
  <si>
    <t xml:space="preserve">Taxes as % of current rent</t>
  </si>
  <si>
    <t xml:space="preserve">Report: about 5.4%</t>
  </si>
  <si>
    <t xml:space="preserve">ESTIMATED MARKET RANGE (reconciled ESTIMATE)</t>
  </si>
  <si>
    <t xml:space="preserve">Measure</t>
  </si>
  <si>
    <t xml:space="preserve">Low</t>
  </si>
  <si>
    <t xml:space="preserve">Midpoint</t>
  </si>
  <si>
    <t xml:space="preserve">High</t>
  </si>
  <si>
    <t xml:space="preserve">Note</t>
  </si>
  <si>
    <t xml:space="preserve">$/SF/yr NNN</t>
  </si>
  <si>
    <t xml:space="preserve">From Market Rent Analysis (report: $60 / $66 / $72)</t>
  </si>
  <si>
    <t xml:space="preserve">$/SF/yr gross-equivalent</t>
  </si>
  <si>
    <t xml:space="preserve">NNN + master NNN load</t>
  </si>
  <si>
    <t xml:space="preserve">Monthly rent, subject (NNN)</t>
  </si>
  <si>
    <t xml:space="preserve">$/SF × SF ÷ 12 (report: $5,500 / $6,050 / $6,600)</t>
  </si>
  <si>
    <t xml:space="preserve">Annual rent, subject (NNN)</t>
  </si>
  <si>
    <t xml:space="preserve">Monthly rent, gross-equivalent</t>
  </si>
  <si>
    <t xml:space="preserve">Current rent vs market (NNN basis)</t>
  </si>
  <si>
    <t xml:space="preserve">Report: about −9% / −17% / −24%</t>
  </si>
  <si>
    <t xml:space="preserve">Market midpoint</t>
  </si>
  <si>
    <t xml:space="preserve">$/SF NNN → monthly (Method B weighted $66.24, rounded)</t>
  </si>
  <si>
    <t xml:space="preserve">RECOMMENDED LANDLORD POSITION</t>
  </si>
  <si>
    <t xml:space="preserve">Position</t>
  </si>
  <si>
    <t xml:space="preserve">Monthly</t>
  </si>
  <si>
    <t xml:space="preserve">$/SF/yr (NNN)</t>
  </si>
  <si>
    <t xml:space="preserve">Annual</t>
  </si>
  <si>
    <t xml:space="preserve">% over current</t>
  </si>
  <si>
    <t xml:space="preserve">Basis</t>
  </si>
  <si>
    <t xml:space="preserve">Conservative</t>
  </si>
  <si>
    <t xml:space="preserve">Low end of reconciled range; lowest market-supported rent the landlord can credibly defend</t>
  </si>
  <si>
    <t xml:space="preserve">Fair market midpoint</t>
  </si>
  <si>
    <t xml:space="preserve">Method B weighted result, rounded; recommended reset target at renewal</t>
  </si>
  <si>
    <t xml:space="preserve">Aggressive</t>
  </si>
  <si>
    <t xml:space="preserve">74A Montauk Hwy adjusted indicator (only Tier 1 food-service comparable); rests on an ask with key money</t>
  </si>
  <si>
    <t xml:space="preserve">Report: $5,500 / $6,050 / $7,000 per month; +10% / +21% / +40% over $5,000. No market-rent factor justifies a permanent reduction below $5,000/month; any relief is better framed as temporary, documented tenant-economics relief.</t>
  </si>
  <si>
    <t xml:space="preserve">KEY CONCLUSION</t>
  </si>
  <si>
    <t xml:space="preserve">Finding</t>
  </si>
  <si>
    <t xml:space="preserve">Conclusion</t>
  </si>
  <si>
    <t xml:space="preserve">If the lease is gross</t>
  </si>
  <si>
    <t xml:space="preserve">Confidence level</t>
  </si>
  <si>
    <t xml:space="preserve">LOW on the precise dollar range; higher on the direction of the finding. No executed Amagansett rent is public, and the 1,100 SF area and the lease type are unverified.</t>
  </si>
  <si>
    <t xml:space="preserve">Date of analysis</t>
  </si>
  <si>
    <t xml:space="preserve">Strongest landlord evidence</t>
  </si>
  <si>
    <t xml:space="preserve">2016–17 key money for this exact leasehold ($625,000 ask, later $575,000; assigned 2017-06-12 after 'several serious inquiries'); 74A Montauk Hwy asks $84.81/SF NNN + $700,000 key money; 11 Indian Wells first floor asks $65/SF NNN; tight post-2020 market (Amagansett Square renewal at 'almost triple'). Weakest link: the only closed Amagansett food-service lease (2095 Montauk Hwy) is about $40/SF base.</t>
  </si>
  <si>
    <t xml:space="preserve">LEGEND</t>
  </si>
  <si>
    <t xml:space="preserve">Blue text</t>
  </si>
  <si>
    <t xml:space="preserve">Hardcoded input or report data (edit to test scenarios)</t>
  </si>
  <si>
    <t xml:space="preserve">Black text</t>
  </si>
  <si>
    <t xml:space="preserve">Formula calculated on the same tab</t>
  </si>
  <si>
    <t xml:space="preserve">Green text</t>
  </si>
  <si>
    <t xml:space="preserve">Link to (or formula using) another tab</t>
  </si>
  <si>
    <t xml:space="preserve">Yellow fill</t>
  </si>
  <si>
    <t xml:space="preserve">Master inputs and key assumptions: Building SF (B6), current monthly rent (B7), NNN load assumption (B8); also amortization years, size elasticity, key-money share and reconciled low/high</t>
  </si>
  <si>
    <t xml:space="preserve">Light-green fill</t>
  </si>
  <si>
    <t xml:space="preserve">Key outputs</t>
  </si>
  <si>
    <t xml:space="preserve">Master inputs to edit: B6 (SF), B7 (current monthly rent), B8 (NNN load). Change them and every tab recalculates.</t>
  </si>
  <si>
    <t xml:space="preserve">Comparable Properties — de-duplicated comparables table (23 rows)</t>
  </si>
  <si>
    <t xml:space="preserve">Annual base rent per SF; NNN unless labelled. Monthly, Rent/SF, NNN/CAM and Effective Rent/SF are formulas. Effective Rent/SF = Rent/SF + NNN (stated figure where the report has one, otherwise the master NNN assumption) + key money ÷ amortization years ÷ SF.</t>
  </si>
  <si>
    <t xml:space="preserve">Label for each row (ASK / CLOSED / EXECUTED / HISTORICAL ASK) is shown in brackets at the start of Notes, exactly as the report labels it. Tier 1 = Amagansett Main St/Montauk Hwy food service ~500–3,000 SF; Tier 2 = other Amagansett commercial; Tier 3 = other Hamptons hamlets. Score 1 (weak) to 5 (near-identical).</t>
  </si>
  <si>
    <t xml:space="preserve">Property</t>
  </si>
  <si>
    <t xml:space="preserve">City</t>
  </si>
  <si>
    <t xml:space="preserve">Property Type</t>
  </si>
  <si>
    <t xml:space="preserve">Lease Type</t>
  </si>
  <si>
    <t xml:space="preserve">Annual Base Rent</t>
  </si>
  <si>
    <t xml:space="preserve">Monthly Base Rent</t>
  </si>
  <si>
    <t xml:space="preserve">Rent/SF</t>
  </si>
  <si>
    <t xml:space="preserve">NNN/CAM</t>
  </si>
  <si>
    <t xml:space="preserve">Effective Rent/SF</t>
  </si>
  <si>
    <t xml:space="preserve">Lease Term</t>
  </si>
  <si>
    <t xml:space="preserve">Seasonality</t>
  </si>
  <si>
    <t xml:space="preserve">Date</t>
  </si>
  <si>
    <t xml:space="preserve">Source</t>
  </si>
  <si>
    <t xml:space="preserve">Source Quality</t>
  </si>
  <si>
    <t xml:space="preserve">Comparability Score</t>
  </si>
  <si>
    <t xml:space="preserve">Tier</t>
  </si>
  <si>
    <t xml:space="preserve">Notes</t>
  </si>
  <si>
    <t xml:space="preserve">Source URL</t>
  </si>
  <si>
    <t xml:space="preserve">Former Coche Comedor (annual option)</t>
  </si>
  <si>
    <t xml:space="preserve">74A Montauk Hwy</t>
  </si>
  <si>
    <t xml:space="preserve">Amagansett</t>
  </si>
  <si>
    <t xml:space="preserve">Turnkey restaurant, 126 seats</t>
  </si>
  <si>
    <t xml:space="preserve">NNN</t>
  </si>
  <si>
    <t xml:space="preserve">Multi-year; Crexi shows 3 mo–10 yr (D)</t>
  </si>
  <si>
    <t xml:space="preserve">Listed 2026-03-26; ~194 days, no cut</t>
  </si>
  <si>
    <t xml:space="preserve">[28][29][30][31][32]</t>
  </si>
  <si>
    <t xml:space="preserve">B</t>
  </si>
  <si>
    <t xml:space="preserve">[ASK] Report row 1. SF = 2,830 main level + finished lower level. Plus $700,000 key money (ASK) incl. equipment; 31 on-site spaces; renovated 2020; central A/C. Taxes $13,919 = $4.92/SF (D); full NNN Unknown, so master NNN applied. Report's gross-equiv. column ($91.81) excludes key money; Effective Rent/SF here adds key money ÷ amortization years ÷ SF.</t>
  </si>
  <si>
    <t xml:space="preserve">https://hamptonscommercialre.com/properties/iconic-amagansett-restaurant-turn-key-opportunity/ | https://www.compass.com/homedetails/74-A-Montauk-Hwy-Amagansett-NY-11930/2070541251466245481_lid/ | https://www.hamptonsrealestate.com/eng/hampton-rentals/detail/524-l-526-930465/74a-montauk-highway-amagansett-ny-11930 | https://www.cityfeet.com/cont/listing/74a-montauk-hwy-amagansett-ny-11930/cs39907135 | https://www.crexi.com/lease/properties/1155311/new-york-74a-montauk-highway---iconic-amagansett-restaurant</t>
  </si>
  <si>
    <t xml:space="preserve">Same space (seasonal option)</t>
  </si>
  <si>
    <t xml:space="preserve">Turnkey restaurant (same space)</t>
  </si>
  <si>
    <t xml:space="preserve">Unknown</t>
  </si>
  <si>
    <t xml:space="preserve">Seasonal: $175,000 for May 22–Sep 15, 2026 (lapsed)</t>
  </si>
  <si>
    <t xml:space="preserve">2026 season only</t>
  </si>
  <si>
    <t xml:space="preserve">Seasonal</t>
  </si>
  <si>
    <t xml:space="preserve">2026</t>
  </si>
  <si>
    <t xml:space="preserve">[28][31]</t>
  </si>
  <si>
    <t xml:space="preserve">B (D for dates)</t>
  </si>
  <si>
    <t xml:space="preserve">[ASK] Report row 2. $61.84/SF per season; annual-equiv. $82.45–$92.30 (÷0.75 to ÷0.67): see seasonal block below. Seasonal ask = 72.9% of annual ask, consistent with the 2/3–3/4 broker rule [91].</t>
  </si>
  <si>
    <t xml:space="preserve">https://hamptonscommercialre.com/properties/iconic-amagansett-restaurant-turn-key-opportunity/ | https://www.cityfeet.com/cont/listing/74a-montauk-hwy-amagansett-ny-11930/cs39907135</t>
  </si>
  <si>
    <t xml:space="preserve">11 Indian Wells Hwy, first floor</t>
  </si>
  <si>
    <t xml:space="preserve">11 Indian Wells Hwy</t>
  </si>
  <si>
    <t xml:space="preserve">Dry flex/retail, no kitchen</t>
  </si>
  <si>
    <t xml:space="preserve">Negotiable (Compass '1-12 months' appears a template field)</t>
  </si>
  <si>
    <t xml:space="preserve">Published 2025-11-25; ~316 days</t>
  </si>
  <si>
    <t xml:space="preserve">[33][36][37]</t>
  </si>
  <si>
    <t xml:space="preserve">[ASK] Report row 3. Main St district; raised entry stair; shared 33-space lot; historic building [4]. NNN not stated; building taxes ~$1.31–$2.02/SF [36].</t>
  </si>
  <si>
    <t xml:space="preserve">https://hamptonscommercialre.com/properties/first-floor-commercial-space/ | https://hamptonscommercialre.com/properties/premier-amagansett-commercial-assemblage-136-main-street-11-indian-wells-hwy-amagansett/ | https://www.crexi.com/lease/properties/718872/new-york-11-indian-wells-hwy</t>
  </si>
  <si>
    <t xml:space="preserve">11 Indian Wells Hwy, ground level</t>
  </si>
  <si>
    <t xml:space="preserve">Lower-level flex</t>
  </si>
  <si>
    <t xml:space="preserve">Negotiable</t>
  </si>
  <si>
    <t xml:space="preserve">Available 2025-04-08; ~547 days</t>
  </si>
  <si>
    <t xml:space="preserve">[34][36]</t>
  </si>
  <si>
    <t xml:space="preserve">[ASK] Report row 4. Rear-lot access; no storefront visibility. NNN not stated; building taxes ~$1.31–$2.02/SF [36].</t>
  </si>
  <si>
    <t xml:space="preserve">https://hamptonscommercialre.com/properties/ground-level-commercial-offering/ | https://hamptonscommercialre.com/properties/premier-amagansett-commercial-assemblage-136-main-street-11-indian-wells-hwy-amagansett/</t>
  </si>
  <si>
    <t xml:space="preserve">11 Indian Wells Hwy, second floor</t>
  </si>
  <si>
    <t xml:space="preserve">Upper-floor flex/office</t>
  </si>
  <si>
    <t xml:space="preserve">~314 days on market</t>
  </si>
  <si>
    <t xml:space="preserve">[35]</t>
  </si>
  <si>
    <t xml:space="preserve">[ASK] Report row 5. Reference only. NNN not stated.</t>
  </si>
  <si>
    <t xml:space="preserve">https://hamptonscommercialre.com/properties/second-floor-amagansett-commercial-flex-space-iconic-building/</t>
  </si>
  <si>
    <t xml:space="preserve">136 Main St, Unit 1 (end cap)</t>
  </si>
  <si>
    <t xml:space="preserve">136 Main St</t>
  </si>
  <si>
    <t xml:space="preserve">Dry retail end cap</t>
  </si>
  <si>
    <t xml:space="preserve">2025–26; broker page 404 on 2026-10-07, likely leased or withdrawn</t>
  </si>
  <si>
    <t xml:space="preserve">[38][39][40]</t>
  </si>
  <si>
    <t xml:space="preserve">D (terms); B (withdrawal)</t>
  </si>
  <si>
    <t xml:space="preserve">[ASK (last ask)] Report row 6. Small-unit trophy outlier; EXCLUDED from the conclusion.</t>
  </si>
  <si>
    <t xml:space="preserve">https://www.loopnet.com/Listing/136-Main-St-Amagansett-NY/32986784/ | https://hamptonscommercialre.com/properties/retail-end-cap-prime-visibility/ | https://www.compass.com/agents/the-hamptons-commercial-real-estate-team/</t>
  </si>
  <si>
    <t xml:space="preserve">136 Main St warehouse</t>
  </si>
  <si>
    <t xml:space="preserve">Warehouse / flex</t>
  </si>
  <si>
    <t xml:space="preserve">Unstated</t>
  </si>
  <si>
    <t xml:space="preserve">Available 2025-04-10; 'Permanently Off Market'</t>
  </si>
  <si>
    <t xml:space="preserve">[41]</t>
  </si>
  <si>
    <t xml:space="preserve">[HISTORICAL ASK] Report row 7. Not storefront or food. Lease type unstated, so no effective rent is computed (report: n/a).</t>
  </si>
  <si>
    <t xml:space="preserve">https://www.compass.com/listing/136-main-street-amagansett-ny-11930/1819738165409919177/</t>
  </si>
  <si>
    <t xml:space="preserve">2095 Montauk Hwy restaurant</t>
  </si>
  <si>
    <t xml:space="preserve">2095 Montauk Hwy</t>
  </si>
  <si>
    <t xml:space="preserve">Amagansett 11930 (Napeague, ~6 mi east of core)</t>
  </si>
  <si>
    <t xml:space="preserve">Restaurant, white box, 123 seats, double hood, 3BR apartment</t>
  </si>
  <si>
    <t xml:space="preserve">Annual lease; highly seasonal stretch</t>
  </si>
  <si>
    <t xml:space="preserve">Closed 2025-06-08</t>
  </si>
  <si>
    <t xml:space="preserve">[42][40][43]</t>
  </si>
  <si>
    <t xml:space="preserve">[CLOSED] Report row 8. Compass 'Rented' 2025-06-08; price flagged 'Unverified'. Stated NNN $40,000/yr = $8.94/SF is used instead of the master assumption. Same $180,000 asked in fall 2024 [43]; Compass header shows '$180,000/mo', a display error against '$180,000/yr' in the listing text.</t>
  </si>
  <si>
    <t xml:space="preserve">https://www.compass.com/homedetails/2095-Montauk-Hwy-Amagansett-NY-11930/1826297907410452777_lid/ | https://www.compass.com/agents/the-hamptons-commercial-real-estate-team/ | https://behindthehedges.com/fall-2024-food-market-commercial-real-estate</t>
  </si>
  <si>
    <t xml:space="preserve">519–521 Montauk Hwy</t>
  </si>
  <si>
    <t xml:space="preserve">Amagansett (east of core)</t>
  </si>
  <si>
    <t xml:space="preserve">Former restaurant shell, seats 186</t>
  </si>
  <si>
    <t xml:space="preserve">Rate on request</t>
  </si>
  <si>
    <t xml:space="preserve">Lease status unverified 2026; sale ask $7.95M (2023)</t>
  </si>
  <si>
    <t xml:space="preserve">[44][45][46]</t>
  </si>
  <si>
    <t xml:space="preserve">D (status); B (2023 facts)</t>
  </si>
  <si>
    <t xml:space="preserve">[ASK] Report row 9. 80 parking spaces; vacant for years. Rate on request, so no $/SF.</t>
  </si>
  <si>
    <t xml:space="preserve">https://www.tenantbase.com/us/building/196079 | https://behindthehedges.com/amagansett-commercial-property-lists-8-million | https://www.cityfeet.com/cont/listing/519-521-montauk-hwy-amagansett-ny-11930/cs39871633</t>
  </si>
  <si>
    <t xml:space="preserve">249 Main St, Building B pop-up</t>
  </si>
  <si>
    <t xml:space="preserve">249 Main St</t>
  </si>
  <si>
    <t xml:space="preserve">Pop-up retail; 1,000 SF ground + 1,000 SF basement + loft</t>
  </si>
  <si>
    <t xml:space="preserve">Seasonal: '50K' for May 1–Sept 2021 (ambiguous)</t>
  </si>
  <si>
    <t xml:space="preserve">Season</t>
  </si>
  <si>
    <t xml:space="preserve">2021</t>
  </si>
  <si>
    <t xml:space="preserve">[47]</t>
  </si>
  <si>
    <t xml:space="preserve">C</t>
  </si>
  <si>
    <t xml:space="preserve">[HISTORICAL ASK] Report row 10. Main St and municipal-lot access; built 1786. $25–$50/SF per season; annual-equiv. $33–$75 (÷0.75 to ÷0.67, on 2,000 or 1,000 SF): see seasonal block below.</t>
  </si>
  <si>
    <t xml:space="preserve">https://www.corcoran.com/listing/for-rent/249-main-street-amagansett-ny-11930/5981523/regionId/3</t>
  </si>
  <si>
    <t xml:space="preserve">17 S Edison St restaurant</t>
  </si>
  <si>
    <t xml:space="preserve">17 S Edison St</t>
  </si>
  <si>
    <t xml:space="preserve">Montauk (downtown)</t>
  </si>
  <si>
    <t xml:space="preserve">Turnkey restaurant, ~126 seats incl. 18 sidewalk</t>
  </si>
  <si>
    <t xml:space="preserve">Not stated</t>
  </si>
  <si>
    <t xml:space="preserve">Page modified 2026-08-16</t>
  </si>
  <si>
    <t xml:space="preserve">[50]</t>
  </si>
  <si>
    <t xml:space="preserve">[ASK] Report row 11. Plus $250,000 key money (ASK); large kitchen, 112 SF walk-in freezer. Report's gross-equiv. ($64.16) excludes key money.</t>
  </si>
  <si>
    <t xml:space="preserve">https://hamptonscommercialre.com/properties/17-s-edison-st-montauk-restaurant/</t>
  </si>
  <si>
    <t xml:space="preserve">53 The Circle (GreyVen)</t>
  </si>
  <si>
    <t xml:space="preserve">53 The Circle</t>
  </si>
  <si>
    <t xml:space="preserve">East Hampton Village</t>
  </si>
  <si>
    <t xml:space="preserve">Luxury retail</t>
  </si>
  <si>
    <t xml:space="preserve">2024-05-09</t>
  </si>
  <si>
    <t xml:space="preserve">[53]</t>
  </si>
  <si>
    <t xml:space="preserve">D (internally corroborated)</t>
  </si>
  <si>
    <t xml:space="preserve">[EXECUTED] Report row 12. Executed per Traded.co, closed 2024-05-09. 6% × $3,959,000 sale ask = $237,540, matching the rent; trophy, EXCLUDED except as ceiling.</t>
  </si>
  <si>
    <t xml:space="preserve">https://traded.co/deals/new-york/retail/lease/53-the-circle-1/</t>
  </si>
  <si>
    <t xml:space="preserve">53 The Circle (current ask)</t>
  </si>
  <si>
    <t xml:space="preserve">Luxury retail + storage basement</t>
  </si>
  <si>
    <t xml:space="preserve">Modified 2026-01-13; April 2026 sale page cites 'The tenancy'</t>
  </si>
  <si>
    <t xml:space="preserve">[51][52]</t>
  </si>
  <si>
    <t xml:space="preserve">[ASK] Report row 13. Trophy; may have leased.</t>
  </si>
  <si>
    <t xml:space="preserve">https://hamptonscommercialre.com/properties/retail-storefront-in-the-core-shopping-district-of-east-hampton-village/ | https://hamptonscommercialre.com/properties/prime-east-hampton-village-retail/</t>
  </si>
  <si>
    <t xml:space="preserve">32 Park Place (two units)</t>
  </si>
  <si>
    <t xml:space="preserve">32 Park Pl</t>
  </si>
  <si>
    <t xml:space="preserve">Boutique retail</t>
  </si>
  <si>
    <t xml:space="preserve">Modified 2026-02-24</t>
  </si>
  <si>
    <t xml:space="preserve">[56]</t>
  </si>
  <si>
    <t xml:space="preserve">[ASK] Report row 14. Two units, 778 SF and 807 SF, at $120,000 each ($154.24 / $148.70/SF); this row is computed on the 778 SF unit. Luxury-adjacent; fronts the village public lot.</t>
  </si>
  <si>
    <t xml:space="preserve">https://hamptonscommercialre.com/properties/east-hampton-village-retail-two-boutique-units-available-for-lease/</t>
  </si>
  <si>
    <t xml:space="preserve">9 Railroad Ave</t>
  </si>
  <si>
    <t xml:space="preserve">East Hampton (expanded village district)</t>
  </si>
  <si>
    <t xml:space="preserve">Retail gallery, ex-auto shop</t>
  </si>
  <si>
    <t xml:space="preserve">Modified 2026-03-06</t>
  </si>
  <si>
    <t xml:space="preserve">[57]</t>
  </si>
  <si>
    <t xml:space="preserve">[ASK] Report row 15. Four roll-up doors; 'ample parking'.</t>
  </si>
  <si>
    <t xml:space="preserve">https://hamptonscommercialre.com/properties/one-of-a-kind-retail-outlet-with-character-in-east-hampton/</t>
  </si>
  <si>
    <t xml:space="preserve">70 Main St, floor 1</t>
  </si>
  <si>
    <t xml:space="preserve">70 Main St</t>
  </si>
  <si>
    <t xml:space="preserve">Southampton Village</t>
  </si>
  <si>
    <t xml:space="preserve">Dry retail, wet-use infrastructure retained</t>
  </si>
  <si>
    <t xml:space="preserve">Modified 2026-08-19</t>
  </si>
  <si>
    <t xml:space="preserve">[58]</t>
  </si>
  <si>
    <t xml:space="preserve">[ASK] Report row 16. SF = 2,365 + 1,300 basement (basement excluded from $/SF). Luxury Main St; trophy.</t>
  </si>
  <si>
    <t xml:space="preserve">https://hamptonscommercialre.com/properties/70-main-street-floor-1-southampton-retail-for-lease/</t>
  </si>
  <si>
    <t xml:space="preserve">Wainscott 900 SF</t>
  </si>
  <si>
    <t xml:space="preserve">Montauk Hwy ('81 Montauk Hwy' per D)</t>
  </si>
  <si>
    <t xml:space="preserve">Wainscott</t>
  </si>
  <si>
    <t xml:space="preserve">Highway boutique; 'hospitality-related use' possible</t>
  </si>
  <si>
    <t xml:space="preserve">NNN per CityFeet (D); HCRE silent</t>
  </si>
  <si>
    <t xml:space="preserve">Modified 2026-08-25</t>
  </si>
  <si>
    <t xml:space="preserve">[59][60]</t>
  </si>
  <si>
    <t xml:space="preserve">[ASK] Report row 17. Small-unit premium.</t>
  </si>
  <si>
    <t xml:space="preserve">https://hamptonscommercialre.com/properties/a-rare-commercial-opportunity-at-the-crossroads-of-the-hamptons-most-prestigious-corridor/ | https://www.cityfeet.com/cont/listing/81-montauk-hwy-wainscott-ny-11975/cs41480188</t>
  </si>
  <si>
    <t xml:space="preserve">62 Montauk Hwy (ex-Buoy One)</t>
  </si>
  <si>
    <t xml:space="preserve">62 Montauk Hwy</t>
  </si>
  <si>
    <t xml:space="preserve">Westhampton</t>
  </si>
  <si>
    <t xml:space="preserve">Restaurant, 62 parking</t>
  </si>
  <si>
    <t xml:space="preserve">'Long-term'</t>
  </si>
  <si>
    <t xml:space="preserve">Undated</t>
  </si>
  <si>
    <t xml:space="preserve">[61]</t>
  </si>
  <si>
    <t xml:space="preserve">D</t>
  </si>
  <si>
    <t xml:space="preserve">[ASK] Report row 18. $132,000 is year-1 rent. Plus $350,000 key money (ASK); size and parking conflict with another source. Report's gross-equiv. ($37.00) excludes key money.</t>
  </si>
  <si>
    <t xml:space="preserve">https://www.bizquest.com/real-estate-for-lease/premier-westhampton-restaurant-opportunity/BW2453378</t>
  </si>
  <si>
    <t xml:space="preserve">2 Main St</t>
  </si>
  <si>
    <t xml:space="preserve">Sag Harbor</t>
  </si>
  <si>
    <t xml:space="preserve">Small boutique</t>
  </si>
  <si>
    <t xml:space="preserve">Modified 2026-09-13</t>
  </si>
  <si>
    <t xml:space="preserve">[62]</t>
  </si>
  <si>
    <t xml:space="preserve">[ASK] Report row 19. Supporting; small-unit.</t>
  </si>
  <si>
    <t xml:space="preserve">https://hamptonscommercialre.com/properties/high-visibility-boutique-space/</t>
  </si>
  <si>
    <t xml:space="preserve">117 Main St</t>
  </si>
  <si>
    <t xml:space="preserve">Small storefront with patio</t>
  </si>
  <si>
    <t xml:space="preserve">1 year (Oct 2026–Oct 2027)</t>
  </si>
  <si>
    <t xml:space="preserve">Modified 2026-07-23</t>
  </si>
  <si>
    <t xml:space="preserve">[63]</t>
  </si>
  <si>
    <t xml:space="preserve">[ASK] Report row 20. SF approximate (~400). Trophy small-unit; EXCLUDED.</t>
  </si>
  <si>
    <t xml:space="preserve">https://hamptonscommercialre.com/properties/sag-harbor-main-street-retail/</t>
  </si>
  <si>
    <t xml:space="preserve">7 Hill St (inline)</t>
  </si>
  <si>
    <t xml:space="preserve">7 Hill St</t>
  </si>
  <si>
    <t xml:space="preserve">Inline retail; 'modified wet uses such as salon or ice cream'</t>
  </si>
  <si>
    <t xml:space="preserve">Modified 2026-09-18</t>
  </si>
  <si>
    <t xml:space="preserve">[64][65]</t>
  </si>
  <si>
    <t xml:space="preserve">B (conflict)</t>
  </si>
  <si>
    <t xml:space="preserve">[ASK] Report row 21. Combined-unit page implies $84,000 ($90.81/SF); report uses the lower $66,000. Closest size match among food-capable Tier 3 units.</t>
  </si>
  <si>
    <t xml:space="preserve">https://hamptonscommercialre.com/properties/inline-retail-store-in-southamptons-cultural-hub/ | https://hamptonscommercialre.com/properties/1-windmill-lane-7-hill-st-southampton/</t>
  </si>
  <si>
    <t xml:space="preserve">15 Hill St, Unit B</t>
  </si>
  <si>
    <t xml:space="preserve">15 Hill St</t>
  </si>
  <si>
    <t xml:space="preserve">Grocery, modified cooking</t>
  </si>
  <si>
    <t xml:space="preserve">Modified 2026-09-28</t>
  </si>
  <si>
    <t xml:space="preserve">[66]</t>
  </si>
  <si>
    <t xml:space="preserve">[ASK] Report row 22. Food-adjacent.</t>
  </si>
  <si>
    <t xml:space="preserve">https://hamptonscommercialre.com/properties/southampton-village-grocery-opportunity-at-15-hill-street-unit-b-southampton-ny/</t>
  </si>
  <si>
    <t xml:space="preserve">87 North Rd bar/restaurant</t>
  </si>
  <si>
    <t xml:space="preserve">87 North Rd</t>
  </si>
  <si>
    <t xml:space="preserve">Shinnecock Hills / Hampton Bays</t>
  </si>
  <si>
    <t xml:space="preserve">Bar/restaurant with kitchen</t>
  </si>
  <si>
    <t xml:space="preserve">2024-05-18</t>
  </si>
  <si>
    <t xml:space="preserve">[67]</t>
  </si>
  <si>
    <t xml:space="preserve">[ASK] Report row 23. Peripheral Southampton Town location. Lease type unstated, so no effective rent is computed (report: Unknown).</t>
  </si>
  <si>
    <t xml:space="preserve">https://behindthehedges.com/bar-restaurant-available-lease-highly-visible/</t>
  </si>
  <si>
    <t xml:space="preserve">SUPPLEMENTARY INPUTS (referenced by the formulas above)</t>
  </si>
  <si>
    <t xml:space="preserve">Key-money amortization period (years)</t>
  </si>
  <si>
    <t xml:space="preserve">Report convention 7: key money converted straight-line over an assumed 10-year term. Used in Effective Rent/SF and in the Adjustments key-money check.</t>
  </si>
  <si>
    <t xml:space="preserve">Seasonal share of annual rent, low (two-thirds)</t>
  </si>
  <si>
    <t xml:space="preserve">Broker rule: a 4–6 month season costs 'two-thirds to three-fourths of the annual asking rent' [91]; 74A's 2026 asks confirm (72.9%) [28].</t>
  </si>
  <si>
    <t xml:space="preserve">Seasonal share of annual rent, high (three-fourths)</t>
  </si>
  <si>
    <t xml:space="preserve">Seasonal share, midpoint (used in Adjustments)</t>
  </si>
  <si>
    <t xml:space="preserve">Report divides seasonal rent by 0.71 (midpoint) to reach an annual equivalent.</t>
  </si>
  <si>
    <t xml:space="preserve">Property (key money)</t>
  </si>
  <si>
    <t xml:space="preserve">Key money ($, ASK)</t>
  </si>
  <si>
    <t xml:space="preserve">Key money $/SF/yr</t>
  </si>
  <si>
    <t xml:space="preserve">[28]</t>
  </si>
  <si>
    <t xml:space="preserve">Includes ownership of all equipment [28]</t>
  </si>
  <si>
    <t xml:space="preserve">Turnkey restaurant</t>
  </si>
  <si>
    <t xml:space="preserve">D-grade source</t>
  </si>
  <si>
    <t xml:space="preserve">Property (stated NNN)</t>
  </si>
  <si>
    <t xml:space="preserve">Stated NNN ($/yr)</t>
  </si>
  <si>
    <t xml:space="preserve">Stated NNN $/SF</t>
  </si>
  <si>
    <t xml:space="preserve">[42]</t>
  </si>
  <si>
    <t xml:space="preserve">'$180,000 base plus $40,000 NNN' (Compass, closed 2025-06-08)</t>
  </si>
  <si>
    <t xml:space="preserve">Property (seasonal)</t>
  </si>
  <si>
    <t xml:space="preserve">Seasonal rent ($)</t>
  </si>
  <si>
    <t xml:space="preserve">SF basis (low)</t>
  </si>
  <si>
    <t xml:space="preserve">SF basis (high)</t>
  </si>
  <si>
    <t xml:space="preserve">$/SF per season (low)</t>
  </si>
  <si>
    <t xml:space="preserve">$/SF per season (high)</t>
  </si>
  <si>
    <t xml:space="preserve">Annual-equiv. $/SF low (÷0.75)</t>
  </si>
  <si>
    <t xml:space="preserve">Annual-equiv. $/SF high (÷0.67)</t>
  </si>
  <si>
    <t xml:space="preserve">May 22–Sep 15, 2026</t>
  </si>
  <si>
    <t xml:space="preserve">May 1–Sept 2021</t>
  </si>
  <si>
    <t xml:space="preserve">74A seasonal ask as % of annual ask</t>
  </si>
  <si>
    <t xml:space="preserve">Report: 72.9%, consistent with the 2/3–3/4 broker rule [91]. 249 Main SF basis: 2,000 SF total or 1,000 SF ground floor.</t>
  </si>
  <si>
    <t xml:space="preserve">NOTES &amp; SOURCES</t>
  </si>
  <si>
    <t xml:space="preserve">Asking vs executed: most figures in this workbook are ASKING rents on listings, not executed leases. No executed Amagansett commercial rent is publicly disclosed for 2014–2026. The only closed Amagansett-ZIP food-service lease (2095 Montauk Hwy, closed 2025-06-08) is broker-reported and Compass flags its price 'Unverified' [42]. Asks are converted to an achieved basis with a moderate 5–10% discount (asks on market &gt;180 days without a cut −10%; other asks −5%; closed 0%). Trophy village rows ($145–$240/SF) are excluded from the conclusion except as an outer ceiling.</t>
  </si>
  <si>
    <t xml:space="preserve">NNN assumption ($7.00/SF, range $5.00–$8.75; master input on Executive Summary): real estate taxes from broker-published tax bills run $1.38–$3.22/SF on small village commercial buildings [68][69][70][71]; the subject's own taxes are about $2.96/SF [3]; taxes alone at 74A are $4.92/SF [31]; the one stated all-in Amagansett NNN figure is $8.94/SF at 2095 Montauk Highway [42]; taxes at 136 Main / 11 Indian Wells run about $1.31–$2.02/SF [36]; and a generic national benchmark puts retail NNN at $4–$8/SF [72]. Insurance and maintenance components (about $1.00–$2.50 and $1.00–$3.00/SF respectively) are unsourced assumptions and should be replaced with the subject's actual figures.</t>
  </si>
  <si>
    <t xml:space="preserve">Labels: ASK = asking rent on a listing; EXECUTED/CLOSED = signed, assigned or broker-reported closed lease; HISTORICAL = dated past listing or event; BROKER OPINION = broker's quoted range; ESTIMATE = figure inferred or calculated in the report. Grades: A = government record or recorded transaction; B = broker listing with detailed terms or established real estate publication; C = historical listing, local newspaper or business website; D = aggregator, unverified database or search snippet.</t>
  </si>
  <si>
    <t xml:space="preserve">Source: '207 Main Street, Amagansett — Commercial Market Rent Assessment', effective 2026-10-07 (research/reports/207 Main Street Amagansett market rent.md). Bracketed numbers refer to the Sources tab, which lists every URL (all accessed 2026-10-07).</t>
  </si>
  <si>
    <t xml:space="preserve">Executed Transactions — executed / closed items only</t>
  </si>
  <si>
    <t xml:space="preserve">No executed Amagansett commercial rent is publicly disclosed for 2014–2026.</t>
  </si>
  <si>
    <t xml:space="preserve">Same columns as Comparable Properties. Rows for 2095 Montauk Hwy and GreyVen link to the Comparable Properties tab (green). About 45 searches and 30 page fetches (press archives, broker closed-deal pages, Traded.co, court, SEC and County Clerk records) found no other disclosed rent.</t>
  </si>
  <si>
    <t xml:space="preserve">207 Main St lease assignment (Mary's Marvelous → Organic Krush) — SUBJECT</t>
  </si>
  <si>
    <t xml:space="preserve">207 Main St</t>
  </si>
  <si>
    <t xml:space="preserve">Café / bakery storefront with kitchen and patio</t>
  </si>
  <si>
    <t xml:space="preserve">Unknown ('long-term lease')</t>
  </si>
  <si>
    <t xml:space="preserve">Undisclosed</t>
  </si>
  <si>
    <t xml:space="preserve">Long-term; remaining term undisclosed</t>
  </si>
  <si>
    <t xml:space="preserve">Annual (seasonal winter closures)</t>
  </si>
  <si>
    <t xml:space="preserve">Closed 2017-06-12</t>
  </si>
  <si>
    <t xml:space="preserve">[10][13][15]</t>
  </si>
  <si>
    <t xml:space="preserve">B (broker-confirmed completed transaction)</t>
  </si>
  <si>
    <t xml:space="preserve">Subject</t>
  </si>
  <si>
    <t xml:space="preserve">[EXECUTED / HISTORICAL — price and rent undisclosed] Assignment of the 'long-term lease' and equipment; key money ASK $625,000 (Dec 2016) [10], later quoted $575,000 [13]; closing price, contract rent, remaining term and lease type never published. Implication: market participants paid a premium to occupy this space; contract rent below market at the time (inference). See key-money capitalization illustration below (ESTIMATE, not used in the market-rent calculation).</t>
  </si>
  <si>
    <t xml:space="preserve">https://www.27east.com/real-estate-news/marys-marvelous-in-amagansett-to-close-when-new-tenant-is-found-1404430 | https://behindthehedges.com/marys-marvelous-amagansett-shut-organic-krush-open/ | https://27east.com/east-hampton-press/marys-marvelous-leaves-amagansett-organic-krush-to-move-in-1633346</t>
  </si>
  <si>
    <t xml:space="preserve">177 Main St — 2020 building sale</t>
  </si>
  <si>
    <t xml:space="preserve">177 Main St</t>
  </si>
  <si>
    <t xml:space="preserve">Restaurant building (fee sale, Indian Wells Tavern)</t>
  </si>
  <si>
    <t xml:space="preserve">n/a (sale)</t>
  </si>
  <si>
    <t xml:space="preserve">n/a — fee sale $2,825,000</t>
  </si>
  <si>
    <t xml:space="preserve">n/a</t>
  </si>
  <si>
    <t xml:space="preserve">2020</t>
  </si>
  <si>
    <t xml:space="preserve">[81]</t>
  </si>
  <si>
    <t xml:space="preserve">Not a rent comp</t>
  </si>
  <si>
    <t xml:space="preserve">[EXECUTED — SALE; NOT A RENT COMP] Building bought for $2.825M. SF ~2,900 per press (2,304 SF ground floor per Town ARB file [7]).</t>
  </si>
  <si>
    <t xml:space="preserve">https://www.danspapers.com/2020/02/highway-restaurant-buys-indian-wells-tavern</t>
  </si>
  <si>
    <t xml:space="preserve">Hampton Chutney renewal offer</t>
  </si>
  <si>
    <t xml:space="preserve">Amagansett Square</t>
  </si>
  <si>
    <t xml:space="preserve">Food service (20-year legacy tenant)</t>
  </si>
  <si>
    <t xml:space="preserve">Not disclosed ('almost triple' prior rent)</t>
  </si>
  <si>
    <t xml:space="preserve">Renewal (offer not accepted)</t>
  </si>
  <si>
    <t xml:space="preserve">Lease expired Oct 2020; offer spring 2021</t>
  </si>
  <si>
    <t xml:space="preserve">[76][77][24]</t>
  </si>
  <si>
    <t xml:space="preserve">Qualitative</t>
  </si>
  <si>
    <t xml:space="preserve">[HISTORICAL — qualitative executed-market event] Landlord's renewal offer at 'almost triple what we're paying now'. Space re-let to Doubles by July 2022; Hampton Chutney moved to 107 Newtown Lane, East Hampton, the former Mary's Marvelous store [77].</t>
  </si>
  <si>
    <t xml:space="preserve">https://easthamptonstar.com/villages/2021527/hampton-chutney-co-squeezed-out-square | https://easthamptonstar.com/business-food/2021812/marvelous-new-home-hampton-chutney-co | https://www.easthamptonstar.com/villages-business/2023216/amagansett-main-street-flux</t>
  </si>
  <si>
    <t xml:space="preserve">Warby Parker, 48 Main St</t>
  </si>
  <si>
    <t xml:space="preserve">48 Main St</t>
  </si>
  <si>
    <t xml:space="preserve">Retail</t>
  </si>
  <si>
    <t xml:space="preserve">Signed 2022-01-01</t>
  </si>
  <si>
    <t xml:space="preserve">[55]</t>
  </si>
  <si>
    <t xml:space="preserve">Not scored</t>
  </si>
  <si>
    <t xml:space="preserve">[EXECUTED (D) — may be an ask] Traded.co labels $125/SF ($167,625/yr) 'asking rent'. Trophy ceiling only; lease type not stated, so no effective rent.</t>
  </si>
  <si>
    <t xml:space="preserve">https://traded.co/deals/new-york/retail/lease/48-main-street/</t>
  </si>
  <si>
    <t xml:space="preserve">David Lewis Gallery, 53 The Circle</t>
  </si>
  <si>
    <t xml:space="preserve">Gallery</t>
  </si>
  <si>
    <t xml:space="preserve">2022-01-01</t>
  </si>
  <si>
    <t xml:space="preserve">[54]</t>
  </si>
  <si>
    <t xml:space="preserve">[EXECUTED (D) — labelled 'asking'] Village secondary data point ($73/SF).</t>
  </si>
  <si>
    <t xml:space="preserve">https://traded.co/deals/new-york/retail/lease/53-the-circle/</t>
  </si>
  <si>
    <t xml:space="preserve">177 Main St — 2023 sale and Rowdy Hall lease</t>
  </si>
  <si>
    <t xml:space="preserve">Restaurant building; leased to Rowdy Hall (opened Nov 2023)</t>
  </si>
  <si>
    <t xml:space="preserve">Lease rent not disclosed; sale $4,450,000</t>
  </si>
  <si>
    <t xml:space="preserve">Sale 2023-01-17; lease 2023</t>
  </si>
  <si>
    <t xml:space="preserve">[80][82][83][7]</t>
  </si>
  <si>
    <t xml:space="preserve">B/C</t>
  </si>
  <si>
    <t xml:space="preserve">[EXECUTED — SALE + LEASE; rent undisclosed] Listed $4.995M (Oct 2022), sold $4.45M to ROP Amagansett LLC to lease out; ~58% above the 2020 price. See implied-yield illustration below — NOT A RENT COMP, carries no weight.</t>
  </si>
  <si>
    <t xml:space="preserve">https://behindthehedges.com/final-figure-amagansett-restaurant-sells-4-5m | https://www.danspapers.com/2022/10/amagansett-main-street-tavern-restaurant-building-for-sale | https://27east.com/east-hampton-press/rowdy-hall-to-move-from-east-hampton-village-to-amagansett-after-summer-2159344 | https://www.ehamptonny.gov/AgendaCenter/ViewFile/Item/2157?fileID=5624</t>
  </si>
  <si>
    <t xml:space="preserve">[EXECUTED per Traded.co, closed 2024-05-09; grade D] $145/SF NNN; corroborated by 6% cap on a $3,959,000 sale ask. Trophy-corridor ceiling; not a restaurant comparable.</t>
  </si>
  <si>
    <t xml:space="preserve">[CLOSED, broker-reported; Compass flags price 'Unverified'] $180,000 base + $40,000 NNN ($40.21 + $8.94/SF). The only closed Amagansett-ZIP food-service rent; low anchor.</t>
  </si>
  <si>
    <t xml:space="preserve">Sea Dragon Books, 136 Main St</t>
  </si>
  <si>
    <t xml:space="preserve">Bookstore (retail)</t>
  </si>
  <si>
    <t xml:space="preserve">Not disclosed</t>
  </si>
  <si>
    <t xml:space="preserve">Two-year lease</t>
  </si>
  <si>
    <t xml:space="preserve">[86]</t>
  </si>
  <si>
    <t xml:space="preserve">[EXECUTED — rent undisclosed] Confirms leasing activity on the Main Street frontage.</t>
  </si>
  <si>
    <t xml:space="preserve">https://easthamptonstar.com/villages-business/202672/amagansetts-west-end-sees-business-boom</t>
  </si>
  <si>
    <t xml:space="preserve">ILLUSTRATION (ESTIMATE): 2016–17 key money capitalized as an annual rent differential — loose upper bound, NOT used in the market-rent calculation</t>
  </si>
  <si>
    <t xml:space="preserve">Discount rate (assumed)</t>
  </si>
  <si>
    <t xml:space="preserve">Assumed 10% rate from the executed-transactions research; remaining terms are assumptions.</t>
  </si>
  <si>
    <t xml:space="preserve">Key money (ASK)</t>
  </si>
  <si>
    <t xml:space="preserve">Amount</t>
  </si>
  <si>
    <t xml:space="preserve">10-yr: annual</t>
  </si>
  <si>
    <t xml:space="preserve">10-yr: monthly</t>
  </si>
  <si>
    <t xml:space="preserve">15-yr: annual</t>
  </si>
  <si>
    <t xml:space="preserve">15-yr: monthly</t>
  </si>
  <si>
    <t xml:space="preserve">20-yr: annual</t>
  </si>
  <si>
    <t xml:space="preserve">20-yr: monthly</t>
  </si>
  <si>
    <t xml:space="preserve">Remaining term (years)</t>
  </si>
  <si>
    <t xml:space="preserve">Later quote</t>
  </si>
  <si>
    <t xml:space="preserve">[13]</t>
  </si>
  <si>
    <t xml:space="preserve">Original ask</t>
  </si>
  <si>
    <t xml:space="preserve">[10]</t>
  </si>
  <si>
    <t xml:space="preserve">Report check: $575,000 → $93,579 / $75,597 / $67,539 per year; $625,000 → $101,716 / $82,171 / $73,412. Part of the payment bought used equipment, goodwill and the scarce wet-use status, so the figures are directional only: in 2016–17 informed buyers valued this leasehold above its contract rent.</t>
  </si>
  <si>
    <t xml:space="preserve">177 MAIN STREET IMPLIED-YIELD ILLUSTRATION — ESTIMATE ONLY, NOT A RENT COMP (carries no weight in the calculation)</t>
  </si>
  <si>
    <t xml:space="preserve">2023 sale price ($)</t>
  </si>
  <si>
    <t xml:space="preserve">[80]</t>
  </si>
  <si>
    <t xml:space="preserve">2020 sale price ($)</t>
  </si>
  <si>
    <t xml:space="preserve">Investor yield, low (assumed, unsourced)</t>
  </si>
  <si>
    <t xml:space="preserve">Assumption</t>
  </si>
  <si>
    <t xml:space="preserve">Investor yield, high (assumed, unsourced)</t>
  </si>
  <si>
    <t xml:space="preserve">Building SF per press coverage</t>
  </si>
  <si>
    <t xml:space="preserve">Press coverage</t>
  </si>
  <si>
    <t xml:space="preserve">Ground-floor SF per Town ARB file</t>
  </si>
  <si>
    <t xml:space="preserve">[7] (also 650 SF lower level, 94 seats)</t>
  </si>
  <si>
    <t xml:space="preserve">Output (ESTIMATE)</t>
  </si>
  <si>
    <t xml:space="preserve">Low yield</t>
  </si>
  <si>
    <t xml:space="preserve">High yield</t>
  </si>
  <si>
    <t xml:space="preserve">Implied net income ($/yr)</t>
  </si>
  <si>
    <t xml:space="preserve">Implied $/SF on ~2,900 SF</t>
  </si>
  <si>
    <t xml:space="preserve">Implied $/SF on 2,304 SF ground floor</t>
  </si>
  <si>
    <t xml:space="preserve">Price change 2020 → 2023</t>
  </si>
  <si>
    <t xml:space="preserve">Report check: $244,750–$289,250/yr; $84–$100/SF on ~2,900 SF; about $106–$126/SF on 2,304 SF; price up about 58%. Inferred from a sale price, not a lease; the buyer may have priced in land value or upside.</t>
  </si>
  <si>
    <t xml:space="preserve">Historical Listings — dated time series, 1997–2026</t>
  </si>
  <si>
    <t xml:space="preserve">From the report's Historical Market Evidence section (plus its Montauk notes and the subject's own 2016–2017 listing history). Ordered by date. No archived listing captures exist (Wayback CDX blocked; LoopNet/Crexi 403).</t>
  </si>
  <si>
    <t xml:space="preserve">Label for each event is shown in brackets at the start of Event / Listing. Green cells link to the Comparable Properties or Executed Transactions tabs.</t>
  </si>
  <si>
    <t xml:space="preserve">Hamlet</t>
  </si>
  <si>
    <t xml:space="preserve">Event / Listing</t>
  </si>
  <si>
    <t xml:space="preserve">Asking Rent</t>
  </si>
  <si>
    <t xml:space="preserve">$/SF</t>
  </si>
  <si>
    <t xml:space="preserve">Seasonal / Annual</t>
  </si>
  <si>
    <t xml:space="preserve">Outcome</t>
  </si>
  <si>
    <t xml:space="preserve">Grade</t>
  </si>
  <si>
    <t xml:space="preserve">East Hampton Village retail (trend line)</t>
  </si>
  <si>
    <t xml:space="preserve">Village core (Main St / Newtown Ln)</t>
  </si>
  <si>
    <t xml:space="preserve">1997-05</t>
  </si>
  <si>
    <t xml:space="preserve">[BROKER OPINION] Village retail $45–$70/SF; spaces under 1,000 SF 'proportionately more'</t>
  </si>
  <si>
    <t xml:space="preserve">n/a (broker range)</t>
  </si>
  <si>
    <t xml:space="preserve">$45–$70</t>
  </si>
  <si>
    <t xml:space="preserve">Market commentary</t>
  </si>
  <si>
    <t xml:space="preserve">[87]</t>
  </si>
  <si>
    <t xml:space="preserve">https://www.easthamptonstar.com/archive/village-going-going</t>
  </si>
  <si>
    <t xml:space="preserve">East Hampton Village prime (trend line)</t>
  </si>
  <si>
    <t xml:space="preserve">Prime village blocks</t>
  </si>
  <si>
    <t xml:space="preserve">2007–08</t>
  </si>
  <si>
    <t xml:space="preserve">[BROKER OPINION] Prime village retail 'up to $250 a foot'</t>
  </si>
  <si>
    <t xml:space="preserve">up to $250</t>
  </si>
  <si>
    <t xml:space="preserve">Pre-crisis peak</t>
  </si>
  <si>
    <t xml:space="preserve">[88]</t>
  </si>
  <si>
    <t xml:space="preserve">https://therealdeal.com/magazine/new-york-june-2009/retail-cools-in-hamptons</t>
  </si>
  <si>
    <t xml:space="preserve">East Hampton Village; Montauk (trend line)</t>
  </si>
  <si>
    <t xml:space="preserve">Village core; Montauk</t>
  </si>
  <si>
    <t xml:space="preserve">East Hampton Village / Montauk</t>
  </si>
  <si>
    <t xml:space="preserve">2009-06</t>
  </si>
  <si>
    <t xml:space="preserve">[BROKER OPINION] $175–$200/SF asks; achieved 20–25% below unchanged asks; Montauk landlords 'giving 20 to 30 percent off'</t>
  </si>
  <si>
    <t xml:space="preserve">$175–$200 (ask)</t>
  </si>
  <si>
    <t xml:space="preserve">Achieved 20–25% below asks (EH); 20–30% off (Montauk)</t>
  </si>
  <si>
    <t xml:space="preserve">East Hampton / Southampton / Bridgehampton–Sag Harbor (trend line)</t>
  </si>
  <si>
    <t xml:space="preserve">Village cores</t>
  </si>
  <si>
    <t xml:space="preserve">East Hampton; Southampton; Bridgehampton; Sag Harbor</t>
  </si>
  <si>
    <t xml:space="preserve">2011</t>
  </si>
  <si>
    <t xml:space="preserve">[BROKER OPINION] Multiyear leases $110–$140 (EH), $70–$75 (Southampton), about $50 (Bridgehampton, Sag Harbor)</t>
  </si>
  <si>
    <t xml:space="preserve">$110–$140 (EH); $70–$75 (SH); ~$50 (BH/SgH)</t>
  </si>
  <si>
    <t xml:space="preserve">Post-crisis trough; 'prime shopping season is just three months'</t>
  </si>
  <si>
    <t xml:space="preserve">[89]</t>
  </si>
  <si>
    <t xml:space="preserve">https://www.corcoran.com/nyc/press-mention/display/12619</t>
  </si>
  <si>
    <t xml:space="preserve">Outdoors store</t>
  </si>
  <si>
    <t xml:space="preserve">Main St</t>
  </si>
  <si>
    <t xml:space="preserve">2012-04</t>
  </si>
  <si>
    <t xml:space="preserve">[HISTORICAL] 15-year lease not renewed</t>
  </si>
  <si>
    <t xml:space="preserve">Space later split between two tenants</t>
  </si>
  <si>
    <t xml:space="preserve">[125][74]</t>
  </si>
  <si>
    <t xml:space="preserve">https://www.easthamptonstar.com/archive/outdoors-heading-out | https://www.easthamptonstar.com/archive/square-dance-amagansett</t>
  </si>
  <si>
    <t xml:space="preserve">Gone Local</t>
  </si>
  <si>
    <t xml:space="preserve">2013-05</t>
  </si>
  <si>
    <t xml:space="preserve">[HISTORICAL] Month-to-month tenant evicted; owner could afford 'as much as $5,000 per month' for a new space</t>
  </si>
  <si>
    <t xml:space="preserve">Tenant budget ≤ $5,000/mo (not a rent)</t>
  </si>
  <si>
    <t xml:space="preserve">Month-to-month</t>
  </si>
  <si>
    <t xml:space="preserve">Tenant relocated</t>
  </si>
  <si>
    <t xml:space="preserve">[73]</t>
  </si>
  <si>
    <t xml:space="preserve">https://patch.com/new-york/easthampton/gone-local-goes-looking-for-a-new-space</t>
  </si>
  <si>
    <t xml:space="preserve">Amagansett Square, Main St</t>
  </si>
  <si>
    <t xml:space="preserve">2015–16</t>
  </si>
  <si>
    <t xml:space="preserve">[HISTORICAL] Four vacancies in late 2015</t>
  </si>
  <si>
    <t xml:space="preserve">Square 'filled to capacity' by May 2016</t>
  </si>
  <si>
    <t xml:space="preserve">[74][75]</t>
  </si>
  <si>
    <t xml:space="preserve">https://www.easthamptonstar.com/archive/square-dance-amagansett | https://www.easthamptonstar.com/archive/lifestyle-shops-fill-gansett-square-capacity</t>
  </si>
  <si>
    <t xml:space="preserve">East Hampton Village / Southampton (trend line)</t>
  </si>
  <si>
    <t xml:space="preserve">East Hampton Village; Southampton</t>
  </si>
  <si>
    <t xml:space="preserve">2016-02</t>
  </si>
  <si>
    <t xml:space="preserve">[BROKER OPINION] Average $125/SF (EH); $90/SF (Southampton)</t>
  </si>
  <si>
    <t xml:space="preserve">n/a (broker average)</t>
  </si>
  <si>
    <t xml:space="preserve">$125 (EH); $90 (SH)</t>
  </si>
  <si>
    <t xml:space="preserve">[90]</t>
  </si>
  <si>
    <t xml:space="preserve">https://www.27east.com/real-estate-news/pulse-points-1407695</t>
  </si>
  <si>
    <t xml:space="preserve">2510 Montauk Hwy corner building</t>
  </si>
  <si>
    <t xml:space="preserve">2510 Montauk Hwy</t>
  </si>
  <si>
    <t xml:space="preserve">Bridgehampton</t>
  </si>
  <si>
    <t xml:space="preserve">2016-12</t>
  </si>
  <si>
    <t xml:space="preserve">[ASK] Main floor $70/SF plus taxes and CAM</t>
  </si>
  <si>
    <t xml:space="preserve">Outcome unknown</t>
  </si>
  <si>
    <t xml:space="preserve">[99]</t>
  </si>
  <si>
    <t xml:space="preserve">https://www.easthamptonstar.com/archive/corner-building-1075-million</t>
  </si>
  <si>
    <t xml:space="preserve">207 Main St — SUBJECT (Mary's Marvelous leasehold)</t>
  </si>
  <si>
    <t xml:space="preserve">2016-12-08</t>
  </si>
  <si>
    <t xml:space="preserve">[HISTORICAL ASK] Douglas Elliman markets 'key money' for the business, long-term lease and equipment; contract rent not published</t>
  </si>
  <si>
    <t xml:space="preserve">Key money ASK $625,000 (rent undisclosed)</t>
  </si>
  <si>
    <t xml:space="preserve">'Several serious inquiries' within a day</t>
  </si>
  <si>
    <t xml:space="preserve">[9][10][12]</t>
  </si>
  <si>
    <t xml:space="preserve">https://patch.com/new-york/riverhead/marys-marvelous-amagansett-close-new-tenant-sought | https://www.27east.com/real-estate-news/marys-marvelous-in-amagansett-to-close-when-new-tenant-is-found-1404430 | https://behindthehedges.com/marys-marvelous-in-amagansett-closing-and-available-to-lease/</t>
  </si>
  <si>
    <t xml:space="preserve">716 Montauk Hwy retail plaza</t>
  </si>
  <si>
    <t xml:space="preserve">716 Montauk Hwy</t>
  </si>
  <si>
    <t xml:space="preserve">Montauk</t>
  </si>
  <si>
    <t xml:space="preserve">2016 → 2017-03</t>
  </si>
  <si>
    <t xml:space="preserve">[HISTORICAL — SALE ASK] Sale price cut from $8.9M (2016) to $6.7M (March 2017)</t>
  </si>
  <si>
    <t xml:space="preserve">n/a (sale ask)</t>
  </si>
  <si>
    <t xml:space="preserve">Montauk cyclical discounting</t>
  </si>
  <si>
    <t xml:space="preserve">[97]</t>
  </si>
  <si>
    <t xml:space="preserve">https://behindthehedges.com/montauk-retail-plaza-cheaper</t>
  </si>
  <si>
    <t xml:space="preserve">207 Main St — SUBJECT (lease assignment)</t>
  </si>
  <si>
    <t xml:space="preserve">2017-06-12</t>
  </si>
  <si>
    <t xml:space="preserve">[EXECUTED] Assignment to Organic Krush closed Monday, June 12, 2017; price not disclosed</t>
  </si>
  <si>
    <t xml:space="preserve">Organic Krush opened June 2017</t>
  </si>
  <si>
    <t xml:space="preserve">[15]</t>
  </si>
  <si>
    <t xml:space="preserve">https://27east.com/east-hampton-press/marys-marvelous-leaves-amagansett-organic-krush-to-move-in-1633346</t>
  </si>
  <si>
    <t xml:space="preserve">207 Main St — SUBJECT (reported price)</t>
  </si>
  <si>
    <t xml:space="preserve">2017-06-15</t>
  </si>
  <si>
    <t xml:space="preserve">[HISTORICAL] Behind the Hedges: 'the lease, listed for $575K, has sold' (27east cites only $625,000)</t>
  </si>
  <si>
    <t xml:space="preserve">Key money quoted $575,000 (rent undisclosed)</t>
  </si>
  <si>
    <t xml:space="preserve">Leasehold assigned ($625K → $575K key money)</t>
  </si>
  <si>
    <t xml:space="preserve">[13][14]</t>
  </si>
  <si>
    <t xml:space="preserve">https://behindthehedges.com/marys-marvelous-amagansett-shut-organic-krush-open/ | https://www.danspapers.com/2017/06/behind-the-hedges-organic-krush-in-amagansett</t>
  </si>
  <si>
    <t xml:space="preserve">Southampton (trend line)</t>
  </si>
  <si>
    <t xml:space="preserve">Main St; Jobs Ln</t>
  </si>
  <si>
    <t xml:space="preserve">2017-07</t>
  </si>
  <si>
    <t xml:space="preserve">[BROKER OPINION] Main St $140–$150; Jobs Lane $100–$110; pop-ups (4–6 months) at 'two-thirds to three-fourths of the annual asking rent'</t>
  </si>
  <si>
    <t xml:space="preserve">$140–$150 (Main); $100–$110 (Jobs)</t>
  </si>
  <si>
    <t xml:space="preserve">Annual; pop-ups seasonal</t>
  </si>
  <si>
    <t xml:space="preserve">Basis of the 0.67–0.75 seasonal factor</t>
  </si>
  <si>
    <t xml:space="preserve">[91]</t>
  </si>
  <si>
    <t xml:space="preserve">https://therealdeal.com/magazine/new-york-july-2017/fashion-and-furnishings-lead-a-retail-revival-in-southampton/</t>
  </si>
  <si>
    <t xml:space="preserve">74A Montauk Hwy (Coche Comedor)</t>
  </si>
  <si>
    <t xml:space="preserve">2019-05</t>
  </si>
  <si>
    <t xml:space="preserve">[HISTORICAL] Honest Man opened Coche Comedor; 'The company already owned the space'</t>
  </si>
  <si>
    <t xml:space="preserve">Owner-occupied</t>
  </si>
  <si>
    <t xml:space="preserve">[79]</t>
  </si>
  <si>
    <t xml:space="preserve">https://therealdeal.com/tristate/issues_articles/the-hamptons-new-hotspots</t>
  </si>
  <si>
    <t xml:space="preserve">Southampton / Amagansett (trend line)</t>
  </si>
  <si>
    <t xml:space="preserve">Southampton; Amagansett</t>
  </si>
  <si>
    <t xml:space="preserve">2019-06</t>
  </si>
  <si>
    <t xml:space="preserve">[BROKER OPINION] Southampton asks fell from ~$110 to $85 (Main) and $50 (Jobs Lane); 'Sag Harbor, Amagansett and Bridgehampton saw little turnover'</t>
  </si>
  <si>
    <t xml:space="preserve">Entry-level pop-ups $75,000–$100,000/season</t>
  </si>
  <si>
    <t xml:space="preserve">$85 (Main); $50 (Jobs)</t>
  </si>
  <si>
    <t xml:space="preserve">Amagansett: little turnover</t>
  </si>
  <si>
    <t xml:space="preserve">[92]</t>
  </si>
  <si>
    <t xml:space="preserve">https://therealdeal.com/new-york/tristate/2019/06/03/revolving-retail-in-the-hamptons/</t>
  </si>
  <si>
    <t xml:space="preserve">177 Main St (Indian Wells Tavern)</t>
  </si>
  <si>
    <t xml:space="preserve">[EXECUTED — SALE] Building bought for $2.825M</t>
  </si>
  <si>
    <t xml:space="preserve">Re-sold 2023 for $4.45M</t>
  </si>
  <si>
    <t xml:space="preserve">Martell's / Montauk Fuels</t>
  </si>
  <si>
    <t xml:space="preserve">2016 → 2021</t>
  </si>
  <si>
    <t xml:space="preserve">[HISTORICAL — SALE ASK] Sale-ask series from $10.5M (2016) to $5.475M (2021)</t>
  </si>
  <si>
    <t xml:space="preserve">[127]</t>
  </si>
  <si>
    <t xml:space="preserve">https://behindthehedges.com/two-commercial-properties-in-montauk-back-on-the-market/</t>
  </si>
  <si>
    <t xml:space="preserve">[HISTORICAL ASK] Seasonal pop-up '50K' for May 1–Sept 2021 (basis ambiguous)</t>
  </si>
  <si>
    <t xml:space="preserve">Hampton Chutney (Amagansett Square)</t>
  </si>
  <si>
    <t xml:space="preserve">2021-05</t>
  </si>
  <si>
    <t xml:space="preserve">[HISTORICAL — OFFER] Renewal offered at 'almost triple' the prior rent</t>
  </si>
  <si>
    <t xml:space="preserve">Not disclosed (~3x prior)</t>
  </si>
  <si>
    <t xml:space="preserve">Not accepted; Doubles opened in the space July 2022</t>
  </si>
  <si>
    <t xml:space="preserve">East Hampton Village Main / Newtown (trend line)</t>
  </si>
  <si>
    <t xml:space="preserve">Main St; Newtown Ln</t>
  </si>
  <si>
    <t xml:space="preserve">2021-09</t>
  </si>
  <si>
    <t xml:space="preserve">[BROKER OPINION] Average $125–$150/SF</t>
  </si>
  <si>
    <t xml:space="preserve">$125–$150</t>
  </si>
  <si>
    <t xml:space="preserve">Post-COVID recovery</t>
  </si>
  <si>
    <t xml:space="preserve">[93]</t>
  </si>
  <si>
    <t xml:space="preserve">https://www.easthamptonstar.com/villages/202192/general-store-east-hampton-its-challenge</t>
  </si>
  <si>
    <t xml:space="preserve">136 Main St; 11 Indian Wells Hwy</t>
  </si>
  <si>
    <t xml:space="preserve">2021-11 / 2022-12</t>
  </si>
  <si>
    <t xml:space="preserve">[EXECUTED — SALES] Sold for $5.6M and $5.2M to the same group</t>
  </si>
  <si>
    <t xml:space="preserve">n/a (sales)</t>
  </si>
  <si>
    <t xml:space="preserve">Assemblage offered for sale at $19M in 2026</t>
  </si>
  <si>
    <t xml:space="preserve">[85][84]</t>
  </si>
  <si>
    <t xml:space="preserve">C/B</t>
  </si>
  <si>
    <t xml:space="preserve">https://www.easthamptonstar.com/business/2022317/recorded-deeds-031722 | https://behindthehedges.com/amagansett-applied-arts-building-sells-5-2-m</t>
  </si>
  <si>
    <t xml:space="preserve">East Hampton Village retail leases (trend line)</t>
  </si>
  <si>
    <t xml:space="preserve">53 The Circle; 48 Main St</t>
  </si>
  <si>
    <t xml:space="preserve">2022–24</t>
  </si>
  <si>
    <t xml:space="preserve">[EXECUTED (D)] Retail leases at $73, $125 and $145/SF (David Lewis 2022, Warby Parker 2022, GreyVen 2024)</t>
  </si>
  <si>
    <t xml:space="preserve">See Executed Transactions</t>
  </si>
  <si>
    <t xml:space="preserve">Trophy ceiling only</t>
  </si>
  <si>
    <t xml:space="preserve">[53][54][55]</t>
  </si>
  <si>
    <t xml:space="preserve">https://traded.co/deals/new-york/retail/lease/53-the-circle-1/ | https://traded.co/deals/new-york/retail/lease/53-the-circle/ | https://traded.co/deals/new-york/retail/lease/48-main-street/</t>
  </si>
  <si>
    <t xml:space="preserve">East End retail (trend line)</t>
  </si>
  <si>
    <t xml:space="preserve">East End</t>
  </si>
  <si>
    <t xml:space="preserve">2022-11</t>
  </si>
  <si>
    <t xml:space="preserve">[BROKER OPINION — market data] About $46/SF; +9.8% over 12 months; +62.2% vs a decade earlier (likely CoStar-sourced)</t>
  </si>
  <si>
    <t xml:space="preserve">n/a (market average)</t>
  </si>
  <si>
    <t xml:space="preserve">Basis of the +10% market-timing adjustment</t>
  </si>
  <si>
    <t xml:space="preserve">[94]</t>
  </si>
  <si>
    <t xml:space="preserve">https://behindthehedges.com/southampton-restaurant-sale-first-time-20/</t>
  </si>
  <si>
    <t xml:space="preserve">2023-01-17</t>
  </si>
  <si>
    <t xml:space="preserve">[EXECUTED — SALE] Sold for $4.45M to ROP Amagansett LLC (listed $4.995M Oct 2022)</t>
  </si>
  <si>
    <t xml:space="preserve">Leased to Rowdy Hall (opened Nov 2023); rent undisclosed</t>
  </si>
  <si>
    <t xml:space="preserve">[80][82][83]</t>
  </si>
  <si>
    <t xml:space="preserve">https://behindthehedges.com/final-figure-amagansett-restaurant-sells-4-5m | https://www.danspapers.com/2022/10/amagansett-main-street-tavern-restaurant-building-for-sale | https://27east.com/east-hampton-press/rowdy-hall-to-move-from-east-hampton-village-to-amagansett-after-summer-2159344</t>
  </si>
  <si>
    <t xml:space="preserve">Newtown Lane</t>
  </si>
  <si>
    <t xml:space="preserve">Newtown Ln</t>
  </si>
  <si>
    <t xml:space="preserve">2023-04</t>
  </si>
  <si>
    <t xml:space="preserve">[BROKER OPINION] 'over 14 offers... the price was $250 per square foot' (rent or price ambiguous)</t>
  </si>
  <si>
    <t xml:space="preserve">$250 (ambiguous)</t>
  </si>
  <si>
    <t xml:space="preserve">Ambiguous</t>
  </si>
  <si>
    <t xml:space="preserve">[95]</t>
  </si>
  <si>
    <t xml:space="preserve">https://behindthehedges.com/hamptons-commercial-real-estate-market/</t>
  </si>
  <si>
    <t xml:space="preserve">2023-06</t>
  </si>
  <si>
    <t xml:space="preserve">[HISTORICAL] Listed for sale at $7.95M; vacant 'for the last few years'; earlier 7-Eleven lease abandoned</t>
  </si>
  <si>
    <t xml:space="preserve">Lease status unverified in 2026</t>
  </si>
  <si>
    <t xml:space="preserve">[45]</t>
  </si>
  <si>
    <t xml:space="preserve">https://behindthehedges.com/amagansett-commercial-property-lists-8-million</t>
  </si>
  <si>
    <t xml:space="preserve">Amagansett (Napeague)</t>
  </si>
  <si>
    <t xml:space="preserve">2024-10</t>
  </si>
  <si>
    <t xml:space="preserve">[ASK] $180,000/year base for 4,476 SF</t>
  </si>
  <si>
    <t xml:space="preserve">Rented June 2025 at the same figure</t>
  </si>
  <si>
    <t xml:space="preserve">[43]</t>
  </si>
  <si>
    <t xml:space="preserve">https://behindthehedges.com/fall-2024-food-market-commercial-real-estate</t>
  </si>
  <si>
    <t xml:space="preserve">2025-06-08</t>
  </si>
  <si>
    <t xml:space="preserve">[CLOSED] Rented; $180,000 base + $40,000 NNN (Compass flags price 'Unverified')</t>
  </si>
  <si>
    <t xml:space="preserve">Only closed Amagansett-ZIP food-service lease</t>
  </si>
  <si>
    <t xml:space="preserve">https://www.compass.com/homedetails/2095-Montauk-Hwy-Amagansett-NY-11930/1826297907410452777_lid/</t>
  </si>
  <si>
    <t xml:space="preserve">716 Montauk Hwy retail building</t>
  </si>
  <si>
    <t xml:space="preserve">2025-09</t>
  </si>
  <si>
    <t xml:space="preserve">[ASK] 1,450 SF units at $9,750/month (about $80.69/SF if per unit; basis ambiguous)</t>
  </si>
  <si>
    <t xml:space="preserve">$9,750/month per unit</t>
  </si>
  <si>
    <t xml:space="preserve">[96]</t>
  </si>
  <si>
    <t xml:space="preserve">https://behindthehedges.com/premier-retail-building-downtown-montauk-10m/</t>
  </si>
  <si>
    <t xml:space="preserve">2025-09-27</t>
  </si>
  <si>
    <t xml:space="preserve">[HISTORICAL] Coche Comedor closed after six years</t>
  </si>
  <si>
    <t xml:space="preserve">Space offered for lease in 2026</t>
  </si>
  <si>
    <t xml:space="preserve">[78]</t>
  </si>
  <si>
    <t xml:space="preserve">https://www.easthamptonstar.com/food/2025925/adios-coche-comedor</t>
  </si>
  <si>
    <t xml:space="preserve">74A Montauk Hwy (former Coche Comedor)</t>
  </si>
  <si>
    <t xml:space="preserve">[ASK] $240,000 NNN + $700,000 key money; $175,000 seasonal option</t>
  </si>
  <si>
    <t xml:space="preserve">Annual (seasonal option also offered)</t>
  </si>
  <si>
    <t xml:space="preserve">~194 days on market, no price cut</t>
  </si>
  <si>
    <t xml:space="preserve">https://hamptonscommercialre.com/properties/iconic-amagansett-restaurant-turn-key-opportunity/</t>
  </si>
  <si>
    <t xml:space="preserve">11 Indian Wells Hwy (three floors)</t>
  </si>
  <si>
    <t xml:space="preserve">[ASK] Ground level / second floor / first floor, NNN</t>
  </si>
  <si>
    <t xml:space="preserve">See Comparable Properties</t>
  </si>
  <si>
    <t xml:space="preserve">~316–547 days on market, no cut</t>
  </si>
  <si>
    <t xml:space="preserve">[33][34][35]</t>
  </si>
  <si>
    <t xml:space="preserve">https://hamptonscommercialre.com/properties/first-floor-commercial-space/ | https://hamptonscommercialre.com/properties/ground-level-commercial-offering/ | https://hamptonscommercialre.com/properties/second-floor-amagansett-commercial-flex-space-iconic-building/</t>
  </si>
  <si>
    <t xml:space="preserve">136 Main St, Unit 1; 136 Main + 11 Indian Wells assemblage</t>
  </si>
  <si>
    <t xml:space="preserve">[ASK] Unit 1 $192 NNN (withdrawn); assemblage for sale at $19M</t>
  </si>
  <si>
    <t xml:space="preserve">Broker page 404 on 2026-10-07 (likely leased or withdrawn)</t>
  </si>
  <si>
    <t xml:space="preserve">[38][36]</t>
  </si>
  <si>
    <t xml:space="preserve">D/B</t>
  </si>
  <si>
    <t xml:space="preserve">https://www.loopnet.com/Listing/136-Main-St-Amagansett-NY/32986784/ | https://hamptonscommercialre.com/properties/premier-amagansett-commercial-assemblage-136-main-street-11-indian-wells-hwy-amagansett/</t>
  </si>
  <si>
    <t xml:space="preserve">Amagansett west end</t>
  </si>
  <si>
    <t xml:space="preserve">136 Main St frontage</t>
  </si>
  <si>
    <t xml:space="preserve">2026-07-02</t>
  </si>
  <si>
    <t xml:space="preserve">[HISTORICAL] 'Business boom'; new tenants at 136 Main St (Sett Coffee, Sea Dragon Books, Jamagansett, LaParlour)</t>
  </si>
  <si>
    <t xml:space="preserve">Frontage filled in 2026</t>
  </si>
  <si>
    <t xml:space="preserve">What the history shows (report): Hamptons retail rents are cyclical (EH Village asks fell from about $250 to $110–$140 between 2008 and 2011, then recovered); the post-2020 period is a step-up (an Amagansett renewal offer at about 3x in 2021, East End rents +9.8% in a year to Nov 2022, an Amagansett restaurant building up about 58% in under three years); Amagansett vacated spaces have re-let within about a season; and seasonality is priced explicitly (a season ≈ two-thirds to three-quarters of a year's rent). A lease negotiated in 2002 or assigned in 2017 predates the post-2020 step-up.</t>
  </si>
  <si>
    <t xml:space="preserve">Adjustments — seven strongest comparables</t>
  </si>
  <si>
    <t xml:space="preserve">Sign convention: + means the subject is superior on that factor (comparable adjusted up); − means the comparable is superior (adjusted down). Normalization (transaction status, market timing) is applied multiplicatively; property adjustments are summed and applied to the normalized rent.</t>
  </si>
  <si>
    <t xml:space="preserve">Adjusted $/SF = Normalized $/SF × (1 + Net property adjustment). Percentages stored as fractions. Blue = report inputs; size adjustment and normalized/adjusted values are formulas.</t>
  </si>
  <si>
    <t xml:space="preserve">Factor</t>
  </si>
  <si>
    <t xml:space="preserve">11 Indian Wells, 1st fl.</t>
  </si>
  <si>
    <t xml:space="preserve">17 S Edison, Montauk</t>
  </si>
  <si>
    <t xml:space="preserve">249 Main St (2021)</t>
  </si>
  <si>
    <t xml:space="preserve">9 Railroad Ave, EH</t>
  </si>
  <si>
    <t xml:space="preserve">7 Hill St, Southampton</t>
  </si>
  <si>
    <t xml:space="preserve">Rationale (one line per adjustment)</t>
  </si>
  <si>
    <t xml:space="preserve">Comparable (Comparable Properties row)</t>
  </si>
  <si>
    <t xml:space="preserve">Linked from Comparable Properties.</t>
  </si>
  <si>
    <t xml:space="preserve">Evidence label</t>
  </si>
  <si>
    <t xml:space="preserve">ASK</t>
  </si>
  <si>
    <t xml:space="preserve">CLOSED</t>
  </si>
  <si>
    <t xml:space="preserve">HISTORICAL ASK</t>
  </si>
  <si>
    <t xml:space="preserve">SF (Comparable Properties)</t>
  </si>
  <si>
    <t xml:space="preserve">SF used for size adjustment</t>
  </si>
  <si>
    <t xml:space="preserve">249 Main: 1,000 SF ground floor (report Size note); others = full SF.</t>
  </si>
  <si>
    <t xml:space="preserve">Starting rent as reported ($/SF NNN; 249 Main = $ per season)</t>
  </si>
  <si>
    <t xml:space="preserve">Unadjusted $/SF (annual NNN basis)</t>
  </si>
  <si>
    <t xml:space="preserve">249 Main: $50,000 ÷ 0.71 = $70,423 annual-equiv.; ÷ 1,500 SF ground-equiv. (basement at 50%) = $46.95 gross-equiv.; less NNN $7.00 = $39.95 NNN.</t>
  </si>
  <si>
    <t xml:space="preserve">Transaction status (ask → achieved)</t>
  </si>
  <si>
    <t xml:space="preserve">Asks &gt;180 days without a cut −10% (74A, 11 IW, 9 Railroad); other asks −5%; closed 0% [88][100][101].</t>
  </si>
  <si>
    <t xml:space="preserve">Market timing</t>
  </si>
  <si>
    <t xml:space="preserve">2021 figure +10% to 2026 (East End +9.8% in a year to Nov 2022 [94]; LI asks ~+9% YoY in 2026 [113]); 2025–26 figures not time-adjusted.</t>
  </si>
  <si>
    <t xml:space="preserve">Normalized $/SF</t>
  </si>
  <si>
    <t xml:space="preserve">Unadjusted × (1 + transaction status) × (1 + market timing).</t>
  </si>
  <si>
    <t xml:space="preserve">PROPERTY ADJUSTMENTS (summed)</t>
  </si>
  <si>
    <t xml:space="preserve">Location / visibility / Main St frontage</t>
  </si>
  <si>
    <t xml:space="preserve">Subject is an at-grade corner storefront in the Main St core [2][4][18]; 11 IW entered by stair (+5%); 2095 off-core Napeague (+15%, conservative vs 35–65% village-tier spreads [89]); EH and Southampton villages have larger trade areas (−5%).</t>
  </si>
  <si>
    <t xml:space="preserve">Size</t>
  </si>
  <si>
    <t xml:space="preserve">(Comparable SF ÷ subject SF)^0.15 − 1, rounded to whole %; smaller spaces command higher $/SF [87][63]; 249 Main uses its 1,000 SF ground floor.</t>
  </si>
  <si>
    <t xml:space="preserve">Condition (building condition / historic)</t>
  </si>
  <si>
    <t xml:space="preserve">Renovated / built-out comparables −5% against a subject with a repair history and Unknown current condition [18][28][33][57][65]; no adjustment for ARB constraints alone.</t>
  </si>
  <si>
    <t xml:space="preserve">Restaurant infrastructure (kitchen / readiness)</t>
  </si>
  <si>
    <t xml:space="preserve">Large kitchens −10% (74A, 17 S Edison) vs subject's tiny kitchen [18]; dry spaces +10% for subject's scarce wet use [10][12]; 7 Hill 'modified wet uses' +5%; 2095 double hoods offset white box (0).</t>
  </si>
  <si>
    <t xml:space="preserve">Outdoor space (patio)</t>
  </si>
  <si>
    <t xml:space="preserve">74A expansive patio / 30 outdoor seats and 2095's 450 SF outdoor seating −5% [28][42]; no stated outdoor space +5% (subject has a patio [9]).</t>
  </si>
  <si>
    <t xml:space="preserve">Parking</t>
  </si>
  <si>
    <t xml:space="preserve">On-site parking superior: 74A (31 spaces), 2095, 9 Railroad −10%; 11 IW shared 33-space lot −5%; 17 S Edison alley only +5% (subject adjoins ~185-space Town lot [25]).</t>
  </si>
  <si>
    <t xml:space="preserve">Lease structure</t>
  </si>
  <si>
    <t xml:space="preserve">All compared on NNN base rent; 249 Main's pop-up figure converted in normalization (0).</t>
  </si>
  <si>
    <t xml:space="preserve">Hamlet market, not tenant hours: Napeague stretch resort-dependent (+5%); year-round EH / Southampton village populations (−5%) [89].</t>
  </si>
  <si>
    <t xml:space="preserve">Foot traffic</t>
  </si>
  <si>
    <t xml:space="preserve">Subject's pedestrian position +5% vs 74A, 2095's drive-to stretch and Railroad Ave's secondary street; downtown Montauk stronger summer volume −5% [50].</t>
  </si>
  <si>
    <t xml:space="preserve">Signage / zoning</t>
  </si>
  <si>
    <t xml:space="preserve">All seven permit the comparable's current use; subject's ARB sign limits offset by core position (0).</t>
  </si>
  <si>
    <t xml:space="preserve">Storage / ancillary space</t>
  </si>
  <si>
    <t xml:space="preserve">74A finished lower level, legal prep area and office −5%; 2095 three-bedroom apartment and 1.1 acres −10% [28][42].</t>
  </si>
  <si>
    <t xml:space="preserve">TI / key money</t>
  </si>
  <si>
    <t xml:space="preserve">Key money ÷ 10 yrs ÷ SF × 50% rent-equivalent ÷ normalized $/SF: 74A ≈16.2%, applied by the report as +15%; 17 S Edison ≈8.4% → +8% [28][50]. See check rows below.</t>
  </si>
  <si>
    <t xml:space="preserve">Net adjustment %</t>
  </si>
  <si>
    <t xml:space="preserve">SUM of the property adjustments above.</t>
  </si>
  <si>
    <t xml:space="preserve">Adjusted $/SF (NNN, ESTIMATE)</t>
  </si>
  <si>
    <t xml:space="preserve">Normalized $/SF × (1 + net adjustment). Range $47.59–$83.25 per report.</t>
  </si>
  <si>
    <t xml:space="preserve">CHECKS AGAINST THE REPORT</t>
  </si>
  <si>
    <t xml:space="preserve">Report normalized $/SF</t>
  </si>
  <si>
    <t xml:space="preserve">Difference (normalized, rounded to cents)</t>
  </si>
  <si>
    <t xml:space="preserve">Zero = reproduces the report (17 S Edison: $57.16 × 0.95 = $54.3056 → $54.31 vs report $54.30).</t>
  </si>
  <si>
    <t xml:space="preserve">Report adjusted $/SF</t>
  </si>
  <si>
    <t xml:space="preserve">Difference (adjusted, rounded to cents)</t>
  </si>
  <si>
    <t xml:space="preserve">Zero = reproduces the report. 17 S Edison +$0.01: report rounds normalized $/SF to $54.30 before applying +13% (unrounded chain gives $61.37); weighted result unaffected.</t>
  </si>
  <si>
    <t xml:space="preserve">WEIGHTING ATTRIBUTES (used by Market Rent Analysis, Method B)</t>
  </si>
  <si>
    <t xml:space="preserve">Evidence status / grade (Method B category)</t>
  </si>
  <si>
    <t xml:space="preserve">Current B-grade ask</t>
  </si>
  <si>
    <t xml:space="preserve">Closed lease (unverified)</t>
  </si>
  <si>
    <t xml:space="preserve">Historical C-grade</t>
  </si>
  <si>
    <t xml:space="preserve">B-grade ask with internal conflict</t>
  </si>
  <si>
    <t xml:space="preserve">Category names must match the Evidence-grade weight table on Market Rent Analysis.</t>
  </si>
  <si>
    <t xml:space="preserve">Comparability score</t>
  </si>
  <si>
    <t xml:space="preserve">Source grade (Comparable Properties)</t>
  </si>
  <si>
    <t xml:space="preserve">ASSUMPTIONS</t>
  </si>
  <si>
    <t xml:space="preserve">Size elasticity</t>
  </si>
  <si>
    <t xml:space="preserve">Report: trophy spreads imply 0.3–0.6; 0.15 used because restaurant rent is driven by seats and back-of-house more than frontage [98].</t>
  </si>
  <si>
    <t xml:space="preserve">Key money: rent-equivalent share</t>
  </si>
  <si>
    <t xml:space="preserve">Report assumption: 50% of key money is rent-equivalent; the other 50% pays for equipment and goodwill [28].</t>
  </si>
  <si>
    <t xml:space="preserve">249 Main ground-floor SF</t>
  </si>
  <si>
    <t xml:space="preserve">Corcoran 2021 listing [47].</t>
  </si>
  <si>
    <t xml:space="preserve">249 Main basement SF</t>
  </si>
  <si>
    <t xml:space="preserve">Basement weight in ground-equivalent SF</t>
  </si>
  <si>
    <t xml:space="preserve">Report: basement counted at 50%.</t>
  </si>
  <si>
    <t xml:space="preserve">KEY-MONEY CHECK (formula-implied % vs the % the report applies)</t>
  </si>
  <si>
    <t xml:space="preserve">Item</t>
  </si>
  <si>
    <t xml:space="preserve">17 S Edison</t>
  </si>
  <si>
    <t xml:space="preserve">Amortization years</t>
  </si>
  <si>
    <t xml:space="preserve">Rent-equivalent $/SF/yr (× share)</t>
  </si>
  <si>
    <t xml:space="preserve">Formula-implied % of normalized $/SF</t>
  </si>
  <si>
    <t xml:space="preserve">% applied by the report (grid row)</t>
  </si>
  <si>
    <t xml:space="preserve">Difference (implied − applied)</t>
  </si>
  <si>
    <t xml:space="preserve">Adjusted $/SF if implied % (rounded) were used</t>
  </si>
  <si>
    <t xml:space="preserve">DISCREPANCY NOTE: for 74A the report computes $700,000 ÷ 10 ÷ 2,830 = $24.73/SF; × 50% = $12.37/SF, 'about 16% of the normalized $76.33, rounded to +15%'. This workbook keeps the report's +15% as an input so that it reproduces the report's $76.33 and $66.24; the strict formula value (≈16.2%, rounded 16%) would give the adjusted figure shown in row 61 (about $77.09) and raise the weighted result by about $0.24/SF. 17 S Edison's 8.4% rounds to the report's +8% (no discrepancy).</t>
  </si>
  <si>
    <t xml:space="preserve">Market Rent Analysis — Methods A, B and C, reconciliation and recommended range</t>
  </si>
  <si>
    <t xml:space="preserve">All $/SF are annual NNN base rent. Inputs in blue; formulas in black; links to other tabs in green.</t>
  </si>
  <si>
    <t xml:space="preserve">WEIGHT INPUTS (fixed before calculation, per report)</t>
  </si>
  <si>
    <t xml:space="preserve">Tier weight</t>
  </si>
  <si>
    <t xml:space="preserve">Rationale</t>
  </si>
  <si>
    <t xml:space="preserve">Amagansett Main St / Montauk Hwy food service ~500–3,000 SF: closest to the subject's submarket and use</t>
  </si>
  <si>
    <t xml:space="preserve">Other Amagansett commercial</t>
  </si>
  <si>
    <t xml:space="preserve">Other Hamptons hamlets</t>
  </si>
  <si>
    <t xml:space="preserve">Evidence status / grade</t>
  </si>
  <si>
    <t xml:space="preserve">Evidence weight</t>
  </si>
  <si>
    <t xml:space="preserve">Closed lease = 1.25, reduced from 1.5 because the 2095 price is flagged 'Unverified'</t>
  </si>
  <si>
    <t xml:space="preserve">Current broker listing with detailed terms</t>
  </si>
  <si>
    <t xml:space="preserve">7 Hill St: unit page vs combined-unit page conflict</t>
  </si>
  <si>
    <t xml:space="preserve">Dated C-grade listing (249 Main, 2021)</t>
  </si>
  <si>
    <t xml:space="preserve">D-grade</t>
  </si>
  <si>
    <t xml:space="preserve">None used as a weighted comparable</t>
  </si>
  <si>
    <t xml:space="preserve">Comparability score: 1 (weak) to 5 (near-identical), from Comparable Properties. Weight = tier weight × evidence weight × comparability score.</t>
  </si>
  <si>
    <t xml:space="preserve">METHOD A — DIRECT COMPARABLE ADJUSTED RANGE</t>
  </si>
  <si>
    <t xml:space="preserve">All seven adjusted</t>
  </si>
  <si>
    <t xml:space="preserve">Score-3 subset</t>
  </si>
  <si>
    <t xml:space="preserve">Report</t>
  </si>
  <si>
    <t xml:space="preserve">Score threshold for direct-evidence subset</t>
  </si>
  <si>
    <t xml:space="preserve">74A, 11 IW 1st fl., 17 S Edison</t>
  </si>
  <si>
    <t xml:space="preserve">Low (MIN)</t>
  </si>
  <si>
    <t xml:space="preserve">All seven: $47.59</t>
  </si>
  <si>
    <t xml:space="preserve">Central (MEDIAN / mean)</t>
  </si>
  <si>
    <t xml:space="preserve">All-seven median $62.36; score-3 mean $68.91</t>
  </si>
  <si>
    <t xml:space="preserve">High (MAX)</t>
  </si>
  <si>
    <t xml:space="preserve">All seven: $83.25</t>
  </si>
  <si>
    <t xml:space="preserve">Simple mean</t>
  </si>
  <si>
    <t xml:space="preserve">Report: simple mean $64.20</t>
  </si>
  <si>
    <t xml:space="preserve">Method A conclusion (report): about $61–$76/SF, central tendency about $69 (score-3 comparables are the most direct evidence).</t>
  </si>
  <si>
    <t xml:space="preserve">METHOD B — WEIGHTED COMPARABLE (SUMPRODUCT)</t>
  </si>
  <si>
    <t xml:space="preserve">Comparable</t>
  </si>
  <si>
    <t xml:space="preserve">Adjusted $/SF</t>
  </si>
  <si>
    <t xml:space="preserve">Tier wt.</t>
  </si>
  <si>
    <t xml:space="preserve">Evidence category</t>
  </si>
  <si>
    <t xml:space="preserve">Evidence wt.</t>
  </si>
  <si>
    <t xml:space="preserve">Score</t>
  </si>
  <si>
    <t xml:space="preserve">Weight</t>
  </si>
  <si>
    <t xml:space="preserve">Share</t>
  </si>
  <si>
    <t xml:space="preserve">Contribution</t>
  </si>
  <si>
    <t xml:space="preserve">Total</t>
  </si>
  <si>
    <t xml:space="preserve">Weighted average $/SF NNN (SUMPRODUCT ÷ SUM of weights)</t>
  </si>
  <si>
    <t xml:space="preserve">← difference (0 = reproduces report; report weight total 28.5)</t>
  </si>
  <si>
    <t xml:space="preserve">METHOD B ROBUSTNESS (report: alternative assumptions move Method B between about $62.60 and $68.40)</t>
  </si>
  <si>
    <t xml:space="preserve">Scenario</t>
  </si>
  <si>
    <t xml:space="preserve">Alt. 74A $/SF</t>
  </si>
  <si>
    <t xml:space="preserve">Alt. 11 IW $/SF</t>
  </si>
  <si>
    <t xml:space="preserve">Weighted $/SF</t>
  </si>
  <si>
    <t xml:space="preserve">Difference</t>
  </si>
  <si>
    <t xml:space="preserve">Alt 1: 74A key money treated as entirely equipment (no key-money adjustment)</t>
  </si>
  <si>
    <t xml:space="preserve">Alt 2: ask-to-achieved discount halved for 74A and 11 IW (−5% instead of −10%)</t>
  </si>
  <si>
    <t xml:space="preserve">Formula gives $68.38 vs report $68.39: a $0.01 rounding difference, not fudged.</t>
  </si>
  <si>
    <t xml:space="preserve">METHOD C — DISTRIBUTION OF THE SEVEN ADJUSTED INDICATORS (QUARTILE, linear interpolation)</t>
  </si>
  <si>
    <t xml:space="preserve">$/SF NNN</t>
  </si>
  <si>
    <t xml:space="preserve">Low: 25th percentile</t>
  </si>
  <si>
    <t xml:space="preserve">Midpoint: median</t>
  </si>
  <si>
    <t xml:space="preserve">High: 75th percentile</t>
  </si>
  <si>
    <t xml:space="preserve">RECONCILIATION</t>
  </si>
  <si>
    <t xml:space="preserve">Method</t>
  </si>
  <si>
    <t xml:space="preserve">Central</t>
  </si>
  <si>
    <t xml:space="preserve">A: direct (score-3 comparables)</t>
  </si>
  <si>
    <t xml:space="preserve">Most direct evidence (74A, 11 IW, 17 S Edison)</t>
  </si>
  <si>
    <t xml:space="preserve">B: weighted (alternatives as low / high)</t>
  </si>
  <si>
    <t xml:space="preserve">Weighted result with robustness alternatives</t>
  </si>
  <si>
    <t xml:space="preserve">C: distribution</t>
  </si>
  <si>
    <t xml:space="preserve">Interquartile range and median of the seven indicators</t>
  </si>
  <si>
    <t xml:space="preserve">Reconciled ESTIMATE ($/SF NNN)</t>
  </si>
  <si>
    <t xml:space="preserve">Reconciliation judgment (report): LOW $60 (input) sits above Method C's 25th percentile ($55.41) because the two indicators below $50 (2095 Montauk, 249 Main) carry the largest normalizations, and just below Method A's lowest direct-evidence value ($61.36) to remain conservative. MIDPOINT = Method B rounded to the nearest dollar (formula). HIGH $72 (input) matches Method C's 75th percentile ($72.68) and sits below the 74A indicator ($76.33), which depends on an ask and a key-money allocation assumption. Low and high are appraiser judgments, not formula outputs; the checks below confirm they sit inside the method results.</t>
  </si>
  <si>
    <t xml:space="preserve">Check: low between Method C 25th pct and Method A low</t>
  </si>
  <si>
    <t xml:space="preserve">Check: high ≤ Method C 75th pct and &lt; 74A indicator</t>
  </si>
  <si>
    <t xml:space="preserve">RECOMMENDED MARKET RANGE AND IMPLIED SUBJECT RENT</t>
  </si>
  <si>
    <t xml:space="preserve">$/SF/yr NNN base rent</t>
  </si>
  <si>
    <t xml:space="preserve">Reconciled ESTIMATE</t>
  </si>
  <si>
    <t xml:space="preserve">Gross-equivalent $/SF/yr (+ NNN assumption)</t>
  </si>
  <si>
    <t xml:space="preserve">Adds master NNN load</t>
  </si>
  <si>
    <t xml:space="preserve">Implied annual rent, subject (NNN)</t>
  </si>
  <si>
    <t xml:space="preserve">$/SF × subject SF</t>
  </si>
  <si>
    <t xml:space="preserve">Implied monthly rent, subject (NNN)</t>
  </si>
  <si>
    <t xml:space="preserve">Annual ÷ 12</t>
  </si>
  <si>
    <t xml:space="preserve">Gross-equivalent monthly</t>
  </si>
  <si>
    <t xml:space="preserve">Current rent variance to market (NNN basis)</t>
  </si>
  <si>
    <t xml:space="preserve">Report: −9.1% / −17.4% / −24.2%</t>
  </si>
  <si>
    <t xml:space="preserve">Current $/SF vs gross-equivalent (if lease is gross)</t>
  </si>
  <si>
    <t xml:space="preserve">Report: about −25% at midpoint</t>
  </si>
  <si>
    <t xml:space="preserve">Net-equivalent (current $/SF − NNN) vs NNN market</t>
  </si>
  <si>
    <t xml:space="preserve">Report: about −28% at midpoint</t>
  </si>
  <si>
    <t xml:space="preserve">LANDLORD NEGOTIATING POSITIONS</t>
  </si>
  <si>
    <t xml:space="preserve">Premium over current</t>
  </si>
  <si>
    <t xml:space="preserve">Gap: monthly</t>
  </si>
  <si>
    <t xml:space="preserve">Gap: annual</t>
  </si>
  <si>
    <t xml:space="preserve">Low end of reconciled range; just below the lowest score-3 comparable ($61.36)</t>
  </si>
  <si>
    <t xml:space="preserve">Method B weighted result ($66.24), rounded</t>
  </si>
  <si>
    <t xml:space="preserve">74A Montauk Hwy adjusted indicator ($76.33), the only Tier 1 food-service comparable; monthly rounded to the nearest $100</t>
  </si>
  <si>
    <t xml:space="preserve">Term for cumulative gap (years)</t>
  </si>
  <si>
    <t xml:space="preserve">Five-year midpoint gap, before escalations (ESTIMATE)</t>
  </si>
  <si>
    <t xml:space="preserve">Cumulative midpoint gap over term</t>
  </si>
  <si>
    <t xml:space="preserve">Report: about $63,000</t>
  </si>
  <si>
    <t xml:space="preserve">DISCREPANCIES vs REPORT: (1) Method B robustness Alt 2 computes to $68.38 vs the report's $68.39 ($0.01 rounding). (1b) 17 S Edison: unrounded chain gives normalized $54.31 / adjusted $61.37 vs the report's $54.30 / $61.36 (report rounds at each step; no effect on $66.24). (1c) 74A seasonal annual-equivalent high computes to $92.29 vs $92.30 (Comparable Properties). (2) The report applies +15% for 74A key money although its own arithmetic gives ≈16.2%; the workbook keeps +15% (see Adjustments key-money check). Because of (1b), Method A's score-3 low shows $61.37 vs the report's $61.36. All other results reproduce the report to the cent: weighted $66.24; Method A high $76.33 and mean $68.91; Method C $55.41 / $62.36 / $72.68; reconciled $60 / $66 / $72; positions $5,500 / $6,050 / $7,000.</t>
  </si>
  <si>
    <t xml:space="preserve">Sensitivity Analysis</t>
  </si>
  <si>
    <t xml:space="preserve">All formulas run off the master SF, current rent and NNN inputs on Executive Summary. Market $/SF values are NNN base rent.</t>
  </si>
  <si>
    <t xml:space="preserve">TABLE 1 — IMPLIED RENT FOR THE SUBJECT AT ALTERNATIVE MARKET RATES</t>
  </si>
  <si>
    <t xml:space="preserve">Subject SF (master)</t>
  </si>
  <si>
    <t xml:space="preserve">Current monthly rent (master)</t>
  </si>
  <si>
    <t xml:space="preserve">Annual rent</t>
  </si>
  <si>
    <t xml:space="preserve">Monthly rent</t>
  </si>
  <si>
    <t xml:space="preserve">Change vs current monthly</t>
  </si>
  <si>
    <t xml:space="preserve">Position vs reconciled range</t>
  </si>
  <si>
    <t xml:space="preserve">Current rent implied $/SF</t>
  </si>
  <si>
    <t xml:space="preserve">Current rent is at market only if market rent ≈ this level (report: about $55/SF).</t>
  </si>
  <si>
    <t xml:space="preserve">TABLE 2 — CURRENT $/SF AND GAP TO MARKET AT ALTERNATIVE BUILDING AREAS</t>
  </si>
  <si>
    <t xml:space="preserve">Building area (SF)</t>
  </si>
  <si>
    <t xml:space="preserve">Market monthly at low</t>
  </si>
  <si>
    <t xml:space="preserve">Market monthly at midpoint</t>
  </si>
  <si>
    <t xml:space="preserve">Market monthly at high</t>
  </si>
  <si>
    <t xml:space="preserve">Current vs market midpoint</t>
  </si>
  <si>
    <t xml:space="preserve">Current vs market low</t>
  </si>
  <si>
    <t xml:space="preserve">Area is the single most sensitive unverified input (1,100 SF rests on a 2016 broker listing and a memoir). At ~1,000 SF the current rent sits at the market low (marginally less gap after the size elasticity raises market $/SF ~1.4% for a smaller space); at 1,200 SF the gap widens to about 24%.</t>
  </si>
  <si>
    <t xml:space="preserve">TABLE 3 — NNN vs GROSS EFFECT (gross-equivalent $/SF at NNN load low / base / high)</t>
  </si>
  <si>
    <t xml:space="preserve">NNN load scenario</t>
  </si>
  <si>
    <t xml:space="preserve">NNN load $/SF/yr</t>
  </si>
  <si>
    <t xml:space="preserve">Gross-equiv. low $/SF</t>
  </si>
  <si>
    <t xml:space="preserve">Gross-equiv. midpoint $/SF</t>
  </si>
  <si>
    <t xml:space="preserve">Gross-equiv. high $/SF</t>
  </si>
  <si>
    <t xml:space="preserve">Gross-equiv. monthly at midpoint</t>
  </si>
  <si>
    <t xml:space="preserve">Current $/SF vs gross-equiv. midpoint</t>
  </si>
  <si>
    <t xml:space="preserve">If gross: net-equiv. $/SF</t>
  </si>
  <si>
    <t xml:space="preserve">Base (master input)</t>
  </si>
  <si>
    <t xml:space="preserve">NNN load range $5.00–$8.75/SF per report (taxes $1.38–$3.22/SF on small village buildings, subject ~$2.96/SF, one stated all-in Amagansett NNN $8.94/SF; insurance and maintenance unsourced). Lease type is the second most sensitive unknown: if the $5,000 is gross, the current $54.55/SF compares with a gross-equivalent midpoint of $73/SF (about 25% below).</t>
  </si>
  <si>
    <t xml:space="preserve">Sources / URLs (all accessed 2026-10-07)</t>
  </si>
  <si>
    <t xml:space="preserve">Parsed from the report's Sources list. Bracketed numbers on every tab refer to this list.</t>
  </si>
  <si>
    <t xml:space="preserve">#</t>
  </si>
  <si>
    <t xml:space="preserve">URL</t>
  </si>
  <si>
    <t xml:space="preserve">NYS ORPTS Property Assessment Data, parcel 171.-1-18 (roll years 2021–2025)</t>
  </si>
  <si>
    <t xml:space="preserve">https://data.ny.gov/resource/7vem-aaz7.json?$where=swis_code=%27472489%27%20AND%20print_key_code=%27171.-1-18%27</t>
  </si>
  <si>
    <t xml:space="preserve">A.</t>
  </si>
  <si>
    <t xml:space="preserve">NYS ORPTS Property Assessment Data, dataset 7vem-aaz7 (block 171-1, 2025 roll)</t>
  </si>
  <si>
    <t xml:space="preserve">https://data.ny.gov/resource/7vem-aaz7.json</t>
  </si>
  <si>
    <t xml:space="preserve">PropertyShark, 207 Main St, Amagansett</t>
  </si>
  <si>
    <t xml:space="preserve">https://www.propertyshark.com/mason/Property/33812847/207-Main-St-Amagansett-NY-11930/</t>
  </si>
  <si>
    <t xml:space="preserve">D.</t>
  </si>
  <si>
    <t xml:space="preserve">Town of East Hampton Code ch. 255, Appendix A, Amagansett Historic District Guidelines</t>
  </si>
  <si>
    <t xml:space="preserve">https://ecode360.com/10416540</t>
  </si>
  <si>
    <t xml:space="preserve">Town of East Hampton Code § 255-11-10, Use Table for Commercial Uses (2018)</t>
  </si>
  <si>
    <t xml:space="preserve">https://ecode360.com/attachment/EA0658/EA0658-255c%20Use%20Table%20-%20Commercial.pdf</t>
  </si>
  <si>
    <t xml:space="preserve">Town of East Hampton Code ch. 255, Attachment 5, Dimensional Regulations</t>
  </si>
  <si>
    <t xml:space="preserve">https://ecode360.com/attachment/EA0658/EA0658-255e%20Business%20Commercial%20Industrial%20-%20Dimensional%20Regs.pdf</t>
  </si>
  <si>
    <t xml:space="preserve">Town of East Hampton Planning Dept., ARB Evaluation, 177 Main St (2023-07-10)</t>
  </si>
  <si>
    <t xml:space="preserve">https://www.ehamptonny.gov/AgendaCenter/ViewFile/Item/2157?fileID=5624</t>
  </si>
  <si>
    <t xml:space="preserve">Suffolk County Planning Commission staff report, East Hampton hamlet reports (2020)</t>
  </si>
  <si>
    <t xml:space="preserve">https://suffolkcountyny.gov/Portals/0/formsdocs/planning/scplanningcommission/2020/Staff%20Report%20Town%20of%20East%20Hampton%20-%20Comp%20Plan%20amendment%20East%20Hampton%20Hamlet%20Reports%20Amagansett%20a.pdf</t>
  </si>
  <si>
    <t xml:space="preserve">Patch, Mary's Marvelous Amagansett to close; new tenant sought (2016-12-08)</t>
  </si>
  <si>
    <t xml:space="preserve">https://patch.com/new-york/riverhead/marys-marvelous-amagansett-close-new-tenant-sought</t>
  </si>
  <si>
    <t xml:space="preserve">B.</t>
  </si>
  <si>
    <t xml:space="preserve">27east, Mary's Marvelous in Amagansett to close when new tenant is found (2016-12-09)</t>
  </si>
  <si>
    <t xml:space="preserve">https://www.27east.com/real-estate-news/marys-marvelous-in-amagansett-to-close-when-new-tenant-is-found-1404430</t>
  </si>
  <si>
    <t xml:space="preserve">Dan's Papers, Mary's Marvelous closing and available to lease (2016-12-09)</t>
  </si>
  <si>
    <t xml:space="preserve">https://www.danspapers.com/2016/12/marys-marvelous-in-amagansett-closing-and-available-to-lease/</t>
  </si>
  <si>
    <t xml:space="preserve">C.</t>
  </si>
  <si>
    <t xml:space="preserve">Behind the Hedges, Mary's Marvelous closing and available to lease (2016-12-09)</t>
  </si>
  <si>
    <t xml:space="preserve">https://behindthehedges.com/marys-marvelous-in-amagansett-closing-and-available-to-lease/</t>
  </si>
  <si>
    <t xml:space="preserve">Behind the Hedges, Mary's Marvelous Amagansett to shut, Organic Krush to open (2017-06-15)</t>
  </si>
  <si>
    <t xml:space="preserve">https://behindthehedges.com/marys-marvelous-amagansett-shut-organic-krush-open/</t>
  </si>
  <si>
    <t xml:space="preserve">Dan's Papers, Behind the Hedges: Organic Krush in Amagansett (2017-06-15)</t>
  </si>
  <si>
    <t xml:space="preserve">https://www.danspapers.com/2017/06/behind-the-hedges-organic-krush-in-amagansett</t>
  </si>
  <si>
    <t xml:space="preserve">27east / East Hampton Press, Mary's Marvelous leaves Amagansett, Organic Krush to move in (2017-06-15)</t>
  </si>
  <si>
    <t xml:space="preserve">Patch, Mary's Marvelous sold; Organic Krush set to open (2017-06-15)</t>
  </si>
  <si>
    <t xml:space="preserve">https://patch.com/new-york/easthampton/marys-marvelous-sold-organic-krush-set-open-shop</t>
  </si>
  <si>
    <t xml:space="preserve">Hamptons.com, Organic café taking over Mary's Marvelous (2017-06-15)</t>
  </si>
  <si>
    <t xml:space="preserve">https://hamptons.com/real-estate-real-estate-news-23449-organic-cafe-taking-over-marys-marvelous-html/</t>
  </si>
  <si>
    <t xml:space="preserve">Mary's Marvelous Substack, "The vacant storefront that held my..." (2024-11-12)</t>
  </si>
  <si>
    <t xml:space="preserve">https://marysmarvelous.substack.com/p/the-vacant-storefront-that-held-my</t>
  </si>
  <si>
    <t xml:space="preserve">East Hampton Star, Krush squeezes into 'Gansett (2017-08-03)</t>
  </si>
  <si>
    <t xml:space="preserve">https://www.easthamptonstar.com/archive/krush-squeezes-gansett</t>
  </si>
  <si>
    <t xml:space="preserve">Dan's Papers, Organic Krush reopens Amagansett location (2020-04-14)</t>
  </si>
  <si>
    <t xml:space="preserve">https://www.danspapers.com/2020/04/organic-krush-reopens-amagansett-location</t>
  </si>
  <si>
    <t xml:space="preserve">Organic Krush, Locations</t>
  </si>
  <si>
    <t xml:space="preserve">https://organickrush.com/locations/</t>
  </si>
  <si>
    <t xml:space="preserve">Organic Krush, Amagansett menu and hours</t>
  </si>
  <si>
    <t xml:space="preserve">https://organickrush.com/organic-krush-menu-amagansett/</t>
  </si>
  <si>
    <t xml:space="preserve">Organic Krush location page, 207 Main Street</t>
  </si>
  <si>
    <t xml:space="preserve">https://locations.organickrush.com/ny/amagansett/207-main-street</t>
  </si>
  <si>
    <t xml:space="preserve">East Hampton Star, Amagansett Main Street is in flux (2023-02-16)</t>
  </si>
  <si>
    <t xml:space="preserve">https://www.easthamptonstar.com/villages-business/2023216/amagansett-main-street-flux</t>
  </si>
  <si>
    <t xml:space="preserve">East Hampton Star, More parking in Amagansett by Memorial Day (2020-01-23)</t>
  </si>
  <si>
    <t xml:space="preserve">https://easthamptonstar.com/government/2020123/more-parking-amagansett-memorial-day</t>
  </si>
  <si>
    <t xml:space="preserve">Richmond BizSense, Organic Krush closes Short Pump outpost (2023-09-18)</t>
  </si>
  <si>
    <t xml:space="preserve">https://richmondbizsense.com/2023/09/18/organic-krush-restaurant-closes-short-pump-outpost-after-4-years/</t>
  </si>
  <si>
    <t xml:space="preserve">Richmond BizSense, Organic Krush closes at UR campus (2024-06-17)</t>
  </si>
  <si>
    <t xml:space="preserve">https://richmondbizsense.com/2024/06/17/organic-krush-closes-at-ur-campus-new-eatery-to-open-in-its-place/</t>
  </si>
  <si>
    <t xml:space="preserve">Hamptons Commercial Real Estate (HCRE), Iconic Amagansett Restaurant, 74A Montauk Hwy</t>
  </si>
  <si>
    <t xml:space="preserve">Compass, 74-A Montauk Hwy</t>
  </si>
  <si>
    <t xml:space="preserve">https://www.compass.com/homedetails/74-A-Montauk-Hwy-Amagansett-NY-11930/2070541251466245481_lid/</t>
  </si>
  <si>
    <t xml:space="preserve">Saunders, 74A Montauk Highway (WEB# 930465)</t>
  </si>
  <si>
    <t xml:space="preserve">https://www.hamptonsrealestate.com/eng/hampton-rentals/detail/524-l-526-930465/74a-montauk-highway-amagansett-ny-11930</t>
  </si>
  <si>
    <t xml:space="preserve">CityFeet, 74A Montauk Hwy (search snippet; page 403)</t>
  </si>
  <si>
    <t xml:space="preserve">https://www.cityfeet.com/cont/listing/74a-montauk-hwy-amagansett-ny-11930/cs39907135</t>
  </si>
  <si>
    <t xml:space="preserve">Crexi, 74A Montauk Highway (search snippet; page 403)</t>
  </si>
  <si>
    <t xml:space="preserve">https://www.crexi.com/lease/properties/1155311/new-york-74a-montauk-highway---iconic-amagansett-restaurant</t>
  </si>
  <si>
    <t xml:space="preserve">HCRE, 11 Indian Wells Hwy, first floor</t>
  </si>
  <si>
    <t xml:space="preserve">https://hamptonscommercialre.com/properties/first-floor-commercial-space/</t>
  </si>
  <si>
    <t xml:space="preserve">HCRE, 11 Indian Wells Hwy, ground level</t>
  </si>
  <si>
    <t xml:space="preserve">https://hamptonscommercialre.com/properties/ground-level-commercial-offering/</t>
  </si>
  <si>
    <t xml:space="preserve">HCRE, 11 Indian Wells Hwy, second floor</t>
  </si>
  <si>
    <t xml:space="preserve">HCRE, 136 Main St and 11 Indian Wells Hwy assemblage (sale; 2025 tax bills)</t>
  </si>
  <si>
    <t xml:space="preserve">https://hamptonscommercialre.com/properties/premier-amagansett-commercial-assemblage-136-main-street-11-indian-wells-hwy-amagansett/</t>
  </si>
  <si>
    <t xml:space="preserve">Crexi, 11 Indian Wells Hwy (search snippet; page 403)</t>
  </si>
  <si>
    <t xml:space="preserve">https://www.crexi.com/lease/properties/718872/new-york-11-indian-wells-hwy</t>
  </si>
  <si>
    <t xml:space="preserve">LoopNet, 136 Main St Unit 1 (search snippet; page 403)</t>
  </si>
  <si>
    <t xml:space="preserve">https://www.loopnet.com/Listing/136-Main-St-Amagansett-NY/32986784/</t>
  </si>
  <si>
    <t xml:space="preserve">HCRE, Retail End Cap, Prime Visibility, 136 Main St Unit 1 (returns 404)</t>
  </si>
  <si>
    <t xml:space="preserve">https://hamptonscommercialre.com/properties/retail-end-cap-prime-visibility/</t>
  </si>
  <si>
    <t xml:space="preserve">B (for withdrawal status).</t>
  </si>
  <si>
    <t xml:space="preserve">Compass, The Hamptons Commercial Real Estate Team (active and past listings)</t>
  </si>
  <si>
    <t xml:space="preserve">https://www.compass.com/agents/the-hamptons-commercial-real-estate-team/</t>
  </si>
  <si>
    <t xml:space="preserve">Compass, 136 Main Street warehouse (off market)</t>
  </si>
  <si>
    <t xml:space="preserve">Compass, 2095 Montauk Hwy (Rented; closed 2025-06-08)</t>
  </si>
  <si>
    <t xml:space="preserve">Behind the Hedges, Fall 2024 food and beverage market (2024-10-10)</t>
  </si>
  <si>
    <t xml:space="preserve">TenantBase, 519–521 Montauk Hwy</t>
  </si>
  <si>
    <t xml:space="preserve">https://www.tenantbase.com/us/building/196079</t>
  </si>
  <si>
    <t xml:space="preserve">Behind the Hedges, Amagansett commercial property lists for $8 million (2023-06-24)</t>
  </si>
  <si>
    <t xml:space="preserve">CityFeet, 519–521 Montauk Hwy (search snippet)</t>
  </si>
  <si>
    <t xml:space="preserve">https://www.cityfeet.com/cont/listing/519-521-montauk-hwy-amagansett-ny-11930/cs39871633</t>
  </si>
  <si>
    <t xml:space="preserve">Corcoran, 249 Main Street pop-up (2021)</t>
  </si>
  <si>
    <t xml:space="preserve">HCRE properties sitemap</t>
  </si>
  <si>
    <t xml:space="preserve">https://hamptonscommercialre.com/properties-sitemap.xml</t>
  </si>
  <si>
    <t xml:space="preserve">LoopNet, Amagansett retail for lease (search snippet)</t>
  </si>
  <si>
    <t xml:space="preserve">https://www.loopnet.com/search/retail-space/amagansett-ny/for-lease/</t>
  </si>
  <si>
    <t xml:space="preserve">HCRE, 17 S Edison St, Montauk restaurant</t>
  </si>
  <si>
    <t xml:space="preserve">HCRE, 53 The Circle, East Hampton (lease)</t>
  </si>
  <si>
    <t xml:space="preserve">https://hamptonscommercialre.com/properties/retail-storefront-in-the-core-shopping-district-of-east-hampton-village/</t>
  </si>
  <si>
    <t xml:space="preserve">HCRE, 53 The Circle, East Hampton (sale)</t>
  </si>
  <si>
    <t xml:space="preserve">https://hamptonscommercialre.com/properties/prime-east-hampton-village-retail/</t>
  </si>
  <si>
    <t xml:space="preserve">Traded.co, GreyVen lease, 53 The Circle (search snippet; page 403)</t>
  </si>
  <si>
    <t xml:space="preserve">Traded.co, David Lewis Gallery lease, 53 The Circle (search snippet)</t>
  </si>
  <si>
    <t xml:space="preserve">Traded.co, Warby Parker lease, 48 Main Street (search snippet)</t>
  </si>
  <si>
    <t xml:space="preserve">HCRE, 32 Park Place, East Hampton</t>
  </si>
  <si>
    <t xml:space="preserve">HCRE, 9 Railroad Ave, East Hampton</t>
  </si>
  <si>
    <t xml:space="preserve">HCRE, 70 Main Street Floor 1, Southampton</t>
  </si>
  <si>
    <t xml:space="preserve">HCRE, Wainscott 900 SF Montauk Highway</t>
  </si>
  <si>
    <t xml:space="preserve">https://hamptonscommercialre.com/properties/a-rare-commercial-opportunity-at-the-crossroads-of-the-hamptons-most-prestigious-corridor/</t>
  </si>
  <si>
    <t xml:space="preserve">CityFeet, 81 Montauk Hwy, Wainscott (search snippet)</t>
  </si>
  <si>
    <t xml:space="preserve">https://www.cityfeet.com/cont/listing/81-montauk-hwy-wainscott-ny-11975/cs41480188</t>
  </si>
  <si>
    <t xml:space="preserve">BizQuest, Premier Westhampton restaurant opportunity, 62 Montauk Hwy (search snippet)</t>
  </si>
  <si>
    <t xml:space="preserve">HCRE, 2 Main St, Sag Harbor</t>
  </si>
  <si>
    <t xml:space="preserve">HCRE, 117 Main St, Sag Harbor</t>
  </si>
  <si>
    <t xml:space="preserve">HCRE, 7 Hill St inline retail, Southampton</t>
  </si>
  <si>
    <t xml:space="preserve">https://hamptonscommercialre.com/properties/inline-retail-store-in-southamptons-cultural-hub/</t>
  </si>
  <si>
    <t xml:space="preserve">HCRE, 1 Windmill Lane and 7 Hill St, Southampton</t>
  </si>
  <si>
    <t xml:space="preserve">https://hamptonscommercialre.com/properties/1-windmill-lane-7-hill-st-southampton/</t>
  </si>
  <si>
    <t xml:space="preserve">HCRE, 15 Hill St Unit B, Southampton</t>
  </si>
  <si>
    <t xml:space="preserve">Behind the Hedges, Bar/restaurant available for lease, 87 North Rd (2024-05-18)</t>
  </si>
  <si>
    <t xml:space="preserve">HCRE, 290 Montauk Hwy, East Hampton (sale; tax bills)</t>
  </si>
  <si>
    <t xml:space="preserve">https://hamptonscommercialre.com/properties/highly-visible-restaurant-bar-on-montauk-highway-with-an-established-following/</t>
  </si>
  <si>
    <t xml:space="preserve">HCRE, 28 Cameron St, Southampton (sale; tax bills)</t>
  </si>
  <si>
    <t xml:space="preserve">https://hamptonscommercialre.com/properties/freestanding-commercial-building-rare-vb-zoned-property-with-private-parking-in-the-southampton-village-core/</t>
  </si>
  <si>
    <t xml:space="preserve">HCRE, 53 N Sea Rd, Southampton (sale; tax bills)</t>
  </si>
  <si>
    <t xml:space="preserve">https://hamptonscommercialre.com/properties/southampton-village-retail-highly-recognized-freestanding-building-for-sale/</t>
  </si>
  <si>
    <t xml:space="preserve">HCRE, Sag Harbor 3,000 SF multi-structure property (tax bills)</t>
  </si>
  <si>
    <t xml:space="preserve">https://hamptonscommercialre.com/properties/3000sf-multi-structure-property-in-the-sag-harbor-village-office-district/</t>
  </si>
  <si>
    <t xml:space="preserve">RightSpace CRE, What are triple net (NNN) charges</t>
  </si>
  <si>
    <t xml:space="preserve">https://rightspacecre.com/blog/what-are-triple-net-nnn-charges-in-a-commercial-lease</t>
  </si>
  <si>
    <t xml:space="preserve">Patch, Gone Local goes looking for a new space (2013-05-24)</t>
  </si>
  <si>
    <t xml:space="preserve">East Hampton Star, Square dance in Amagansett (2016-03-31)</t>
  </si>
  <si>
    <t xml:space="preserve">https://www.easthamptonstar.com/archive/square-dance-amagansett</t>
  </si>
  <si>
    <t xml:space="preserve">East Hampton Star, Lifestyle shops fill 'Gansett Square to capacity (2016-05-19)</t>
  </si>
  <si>
    <t xml:space="preserve">https://www.easthamptonstar.com/archive/lifestyle-shops-fill-gansett-square-capacity</t>
  </si>
  <si>
    <t xml:space="preserve">East Hampton Star, Hampton Chutney Co. squeezed out of Square (2021-05-27)</t>
  </si>
  <si>
    <t xml:space="preserve">https://easthamptonstar.com/villages/2021527/hampton-chutney-co-squeezed-out-square</t>
  </si>
  <si>
    <t xml:space="preserve">East Hampton Star, A marvelous new home for Hampton Chutney Co. (2021-08-12)</t>
  </si>
  <si>
    <t xml:space="preserve">https://easthamptonstar.com/business-food/2021812/marvelous-new-home-hampton-chutney-co</t>
  </si>
  <si>
    <t xml:space="preserve">East Hampton Star, Adios, Coche Comedor (2025-09-25)</t>
  </si>
  <si>
    <t xml:space="preserve">The Real Deal, The Hamptons' new hotspots (2019-05-20)</t>
  </si>
  <si>
    <t xml:space="preserve">Behind the Hedges, Final figure: Amagansett restaurant sells for $4.5M (2023-03-22)</t>
  </si>
  <si>
    <t xml:space="preserve">https://behindthehedges.com/final-figure-amagansett-restaurant-sells-4-5m</t>
  </si>
  <si>
    <t xml:space="preserve">Dan's Papers, Highway restaurant buys Indian Wells Tavern (2020)</t>
  </si>
  <si>
    <t xml:space="preserve">Dan's Papers, Amagansett Main Street Tavern restaurant building for sale (2022-10-10)</t>
  </si>
  <si>
    <t xml:space="preserve">https://www.danspapers.com/2022/10/amagansett-main-street-tavern-restaurant-building-for-sale</t>
  </si>
  <si>
    <t xml:space="preserve">27east, Rowdy Hall to move from East Hampton Village to Amagansett (2023)</t>
  </si>
  <si>
    <t xml:space="preserve">https://27east.com/east-hampton-press/rowdy-hall-to-move-from-east-hampton-village-to-amagansett-after-summer-2159344</t>
  </si>
  <si>
    <t xml:space="preserve">Behind the Hedges, Amagansett Applied Arts building sells for $5.2M (2022-12-30)</t>
  </si>
  <si>
    <t xml:space="preserve">https://behindthehedges.com/amagansett-applied-arts-building-sells-5-2-m</t>
  </si>
  <si>
    <t xml:space="preserve">East Hampton Star, Recorded deeds (2022-03-17)</t>
  </si>
  <si>
    <t xml:space="preserve">https://www.easthamptonstar.com/business/2022317/recorded-deeds-031722</t>
  </si>
  <si>
    <t xml:space="preserve">East Hampton Star, Amagansett's west end sees a business boom (2026-07-02)</t>
  </si>
  <si>
    <t xml:space="preserve">East Hampton Star, Village going, going (1997-05-15)</t>
  </si>
  <si>
    <t xml:space="preserve">The Real Deal, Retail cools in Hamptons (2009-06-02)</t>
  </si>
  <si>
    <t xml:space="preserve">New York Times (2011), reprinted by Corcoran, seasonal store rents</t>
  </si>
  <si>
    <t xml:space="preserve">27east, Pulse Points (2016-02-03)</t>
  </si>
  <si>
    <t xml:space="preserve">The Real Deal, Fashion and furnishings lead a retail revival in Southampton (July 2017)</t>
  </si>
  <si>
    <t xml:space="preserve">The Real Deal, Revolving retail in the Hamptons (2019-06-03)</t>
  </si>
  <si>
    <t xml:space="preserve">East Hampton Star, General store: East Hampton, it's a challenge (2021-09-02)</t>
  </si>
  <si>
    <t xml:space="preserve">Behind the Hedges, Southampton restaurant for sale for the first time in 20 years (2022-11-08)</t>
  </si>
  <si>
    <t xml:space="preserve">Behind the Hedges, State of the Hamptons commercial real estate market (2023-04-19)</t>
  </si>
  <si>
    <t xml:space="preserve">Behind the Hedges, Premier retail building in downtown Montauk (2025-09-20)</t>
  </si>
  <si>
    <t xml:space="preserve">Behind the Hedges, Montauk retail plaza now cheaper (2017-03-22)</t>
  </si>
  <si>
    <t xml:space="preserve">Hamptons.com, Exploring the East End commercial real estate (Zwick interview, 2016-02-18)</t>
  </si>
  <si>
    <t xml:space="preserve">https://hamptons.com/real-estate-land-and-law-21731-exploring-the-east-end-commercial-real-estate-html/</t>
  </si>
  <si>
    <t xml:space="preserve">East Hampton Star, Corner building, $10.75 million (2016-12-01)</t>
  </si>
  <si>
    <t xml:space="preserve">WWD, Hamptons retail scene: what's new for summer 2026</t>
  </si>
  <si>
    <t xml:space="preserve">https://wwd.com/business-news/retail/hamptons-retail-scene-whats-new-for-summer-2026-1238932696/</t>
  </si>
  <si>
    <t xml:space="preserve">The Real Deal, Not a vanity play (June 2025)</t>
  </si>
  <si>
    <t xml:space="preserve">https://therealdeal.com/magazine/june-2025/not-a-vanity-play/</t>
  </si>
  <si>
    <t xml:space="preserve">The Real Deal, What to know as Hamptons summer season begins (2026-05-25)</t>
  </si>
  <si>
    <t xml:space="preserve">https://therealdeal.com/new-york/tristate/2026/05/25/what-to-know-as-hamptons-summer-season-begins/</t>
  </si>
  <si>
    <t xml:space="preserve">NYS Office of the State Comptroller, Local sales tax collections, first half 2026 (July 2026)</t>
  </si>
  <si>
    <t xml:space="preserve">https://www.osc.ny.gov/press/releases/2026/07/dinapoli-local-sales-tax-collections-total-127-billion-first-half-2026-68-over-last-year</t>
  </si>
  <si>
    <t xml:space="preserve">27east, Amagansett Main Street sidewalk project (March 2026)</t>
  </si>
  <si>
    <t xml:space="preserve">https://www.27east.com/east-hampton-press/news/government/article_2c6df056-ba7d-486e-b086-00d254e2632f.html</t>
  </si>
  <si>
    <t xml:space="preserve">East Hampton Star, Amagansett sidewalk beautification in the works (2026-03-05)</t>
  </si>
  <si>
    <t xml:space="preserve">https://easthamptonstar.com/government/202635/amagansett-sidewalk-beautification-works</t>
  </si>
  <si>
    <t xml:space="preserve">NYS Department of Labor, Minimum wage</t>
  </si>
  <si>
    <t xml:space="preserve">https://dol.ny.gov/minimum-wage-0</t>
  </si>
  <si>
    <t xml:space="preserve">NYS Department of Labor, Fact Sheet P717 (rates 1/1/26–12/31/26)</t>
  </si>
  <si>
    <t xml:space="preserve">https://dol.ny.gov/system/files/documents/2025/12/p717_12-25.pdf</t>
  </si>
  <si>
    <t xml:space="preserve">Nation's Restaurant News, Restaurant industry faces modest growth amid cost pressures in 2026</t>
  </si>
  <si>
    <t xml:space="preserve">https://www.nrn.com/restaurant-insights/restaurant-industry-faces-modest-growth-amid-cost-pressures-in-2026</t>
  </si>
  <si>
    <t xml:space="preserve">Diskin, Lennhoff, Parli and Roach, "Market Rent and Highest and Best Use: Joined at the Hip?", The Appraisal Journal (Appraisal Institute), Spring 2022</t>
  </si>
  <si>
    <t xml:space="preserve">https://www.appraisalinstitute.org/getattachment/efe3dcf2-80e0-4565-97a0-9c643479e512/Market-Rent-and-Highest-and-Best-Use.pdf</t>
  </si>
  <si>
    <t xml:space="preserve">12 CFR § 323.2 (FDIC), Definitions, via Cornell LII</t>
  </si>
  <si>
    <t xml:space="preserve">https://www.law.cornell.edu/cfr/text/12/323.2</t>
  </si>
  <si>
    <t xml:space="preserve">CompStak, Net effective rent vs. asking rent</t>
  </si>
  <si>
    <t xml:space="preserve">https://compstak.com/blog/net-effective-rent-vs-asking-rent-cre-underwriting</t>
  </si>
  <si>
    <t xml:space="preserve">CompStak, Retail rent concession trends</t>
  </si>
  <si>
    <t xml:space="preserve">https://compstak.com/blog/retail-rent-concession-trends-compstak-lease-data</t>
  </si>
  <si>
    <t xml:space="preserve">Schuckman Realty, Nassau and Suffolk retail: a landlord's market (May 2026)</t>
  </si>
  <si>
    <t xml:space="preserve">https://www.schuckmanrealty.com/nassau-and-suffolk-retail-a-landlords-market-that-just-keeps-getting-tighter/</t>
  </si>
  <si>
    <t xml:space="preserve">27east, A new public park and parking for Amagansett (2024)</t>
  </si>
  <si>
    <t xml:space="preserve">https://27east.com/east-hampton-press/a-new-public-park-and-parking-for-amagansett-2286972</t>
  </si>
  <si>
    <t xml:space="preserve">East Hampton Star, News for foodies (2026-04-16)</t>
  </si>
  <si>
    <t xml:space="preserve">https://www.easthamptonstar.com/food/2026416/news-foodies-041626</t>
  </si>
  <si>
    <t xml:space="preserve">27east, Wölffer Kitchen Sag Harbor's lease is up for sale (2020-02)</t>
  </si>
  <si>
    <t xml:space="preserve">https://www.27east.com/food-drinks/wolffer-kitchen-sag-harbors-lease-is-up-for-sale-while-the-restaurant-remains-open-1677330</t>
  </si>
  <si>
    <t xml:space="preserve">Behind the Hedges, Historic Springs Tavern now for sale (2021-09-23)</t>
  </si>
  <si>
    <t xml:space="preserve">https://behindthehedges.com/historic-springs-tavern-now-for-sale-in-east-hampton/</t>
  </si>
  <si>
    <t xml:space="preserve">HCRE, Closed deals</t>
  </si>
  <si>
    <t xml:space="preserve">https://hamptonscommercialre.com/closed-deals/</t>
  </si>
  <si>
    <t xml:space="preserve">B (labels only, no data).</t>
  </si>
  <si>
    <t xml:space="preserve">Social Life Magazine, Amagansett restaurants 2026</t>
  </si>
  <si>
    <t xml:space="preserve">https://sociallifemagazine.com/luxury-lifestyle/amagansett-restaurants-2026/</t>
  </si>
  <si>
    <t xml:space="preserve">East Hampton Star, New lights near Amagansett's Main Street (2025-11-13)</t>
  </si>
  <si>
    <t xml:space="preserve">https://www.easthamptonstar.com/government/20251113/new-lights-near-amagansetts-main-street</t>
  </si>
  <si>
    <t xml:space="preserve">Dan's Papers, Healthy Organic Krush (Nov 2019; search snippet)</t>
  </si>
  <si>
    <t xml:space="preserve">https://www.danspapers.com/2019/11/healthy-organic-krush</t>
  </si>
  <si>
    <t xml:space="preserve">Yelp, Organic Krush Kitchen &amp; Eatery, Amagansett (search snippet)</t>
  </si>
  <si>
    <t xml:space="preserve">https://www.yelp.com/biz/organic-krush-kitchen-and-eatery-amagansett</t>
  </si>
  <si>
    <t xml:space="preserve">East Hampton Star, Sea change on Amagansett Main Street (2022-09-08)</t>
  </si>
  <si>
    <t xml:space="preserve">https://www.easthamptonstar.com/government/202298/sea-change-amagansett-main-street</t>
  </si>
  <si>
    <t xml:space="preserve">Town of East Hampton, Amagansett Hamlet Study implementation presentation (2017-06-03)</t>
  </si>
  <si>
    <t xml:space="preserve">https://www.ehamptonny.gov/DocumentCenter/View/2291/Fine-Arts-Amagansett-Presentation-June-3-2017-PDF</t>
  </si>
  <si>
    <t xml:space="preserve">East Hampton Star, Outdoors heading out (2012-04-18)</t>
  </si>
  <si>
    <t xml:space="preserve">https://www.easthamptonstar.com/archive/outdoors-heading-out</t>
  </si>
  <si>
    <t xml:space="preserve">27east, Tenants sought for former CVS site in Bridgehampton (2015-07-21)</t>
  </si>
  <si>
    <t xml:space="preserve">https://www.27east.com/real-estate-news/tenants-sought-for-former-cvs-pharmacy-site-in-bridgehampton-2-1410257/</t>
  </si>
  <si>
    <t xml:space="preserve">Behind the Hedges, Two commercial properties in Montauk back on the market (2021-03-10)</t>
  </si>
  <si>
    <t xml:space="preserve">NY Courts reporter, Panasia Estate, Inc. v Tapas y Mas, LLC, 2024 NY Slip Op 05898 (page 403; search snippet only)</t>
  </si>
  <si>
    <t xml:space="preserve">https://www.nycourts.gov/reporter/3dseries/2024/2024_05898.htm</t>
  </si>
  <si>
    <t xml:space="preserve">D (content).</t>
  </si>
  <si>
    <t xml:space="preserve">HappyCow, Organic Krush Stony Brook (listed closed; search snippet)</t>
  </si>
  <si>
    <t xml:space="preserve">https://www.happycow.net/reviews/organic-krush-stony-brook-278874</t>
  </si>
  <si>
    <t xml:space="preserve">Yelp, Organic Krush New Hyde Park (listed closed; search snippet)</t>
  </si>
  <si>
    <t xml:space="preserve">https://www.yelp.com/biz/organic-krush-new-hyde-park</t>
  </si>
  <si>
    <t xml:space="preserve">East Hampton Star, Poxy: third time a charm? (2011-01-21)</t>
  </si>
  <si>
    <t xml:space="preserve">https://www.easthamptonstar.com/archive/poxy-third-time-charm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</si>
</sst>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;\(#,##0\);\-"/>
    <numFmt numFmtId="166" formatCode="\$#,##0;&quot;($&quot;#,##0\);\-"/>
    <numFmt numFmtId="167" formatCode="\$#,##0.00;&quot;($&quot;#,##0.00\);\-"/>
    <numFmt numFmtId="168" formatCode="0.0%;\(0.0%\);\-"/>
    <numFmt numFmtId="169" formatCode="yyyy\-mm\-dd"/>
    <numFmt numFmtId="170" formatCode="0.00"/>
    <numFmt numFmtId="171" formatCode="General"/>
    <numFmt numFmtId="172" formatCode="\+0%;\-0%;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i val="true"/>
      <sz val="10"/>
      <color rgb="FF000000"/>
      <name val="Arial"/>
      <family val="0"/>
      <charset val="1"/>
    </font>
    <font>
      <u val="single"/>
      <sz val="10"/>
      <color rgb="FF000000"/>
      <name val="Arial"/>
      <family val="0"/>
      <charset val="1"/>
    </font>
    <font>
      <b val="true"/>
      <sz val="12"/>
      <color rgb="FFC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EDEDED"/>
        <bgColor rgb="FFE2EFDA"/>
      </patternFill>
    </fill>
    <fill>
      <patternFill patternType="solid">
        <fgColor rgb="FFD9E1F2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EDEDED"/>
      </patternFill>
    </fill>
    <fill>
      <patternFill patternType="solid">
        <fgColor rgb="FFFCE4D6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0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1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9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6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1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2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2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2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9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9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6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DED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hamptonscommercialre.com/properties/iconic-amagansett-restaurant-turn-key-opportunity/" TargetMode="External"/><Relationship Id="rId2" Type="http://schemas.openxmlformats.org/officeDocument/2006/relationships/hyperlink" Target="https://hamptonscommercialre.com/properties/iconic-amagansett-restaurant-turn-key-opportunity/" TargetMode="External"/><Relationship Id="rId3" Type="http://schemas.openxmlformats.org/officeDocument/2006/relationships/hyperlink" Target="https://hamptonscommercialre.com/properties/first-floor-commercial-space/" TargetMode="External"/><Relationship Id="rId4" Type="http://schemas.openxmlformats.org/officeDocument/2006/relationships/hyperlink" Target="https://hamptonscommercialre.com/properties/ground-level-commercial-offering/" TargetMode="External"/><Relationship Id="rId5" Type="http://schemas.openxmlformats.org/officeDocument/2006/relationships/hyperlink" Target="https://hamptonscommercialre.com/properties/second-floor-amagansett-commercial-flex-space-iconic-building/" TargetMode="External"/><Relationship Id="rId6" Type="http://schemas.openxmlformats.org/officeDocument/2006/relationships/hyperlink" Target="https://www.loopnet.com/Listing/136-Main-St-Amagansett-NY/32986784/" TargetMode="External"/><Relationship Id="rId7" Type="http://schemas.openxmlformats.org/officeDocument/2006/relationships/hyperlink" Target="https://www.compass.com/listing/136-main-street-amagansett-ny-11930/1819738165409919177/" TargetMode="External"/><Relationship Id="rId8" Type="http://schemas.openxmlformats.org/officeDocument/2006/relationships/hyperlink" Target="https://www.compass.com/homedetails/2095-Montauk-Hwy-Amagansett-NY-11930/1826297907410452777_lid/" TargetMode="External"/><Relationship Id="rId9" Type="http://schemas.openxmlformats.org/officeDocument/2006/relationships/hyperlink" Target="https://www.tenantbase.com/us/building/196079" TargetMode="External"/><Relationship Id="rId10" Type="http://schemas.openxmlformats.org/officeDocument/2006/relationships/hyperlink" Target="https://www.corcoran.com/listing/for-rent/249-main-street-amagansett-ny-11930/5981523/regionId/3" TargetMode="External"/><Relationship Id="rId11" Type="http://schemas.openxmlformats.org/officeDocument/2006/relationships/hyperlink" Target="https://hamptonscommercialre.com/properties/17-s-edison-st-montauk-restaurant/" TargetMode="External"/><Relationship Id="rId12" Type="http://schemas.openxmlformats.org/officeDocument/2006/relationships/hyperlink" Target="https://traded.co/deals/new-york/retail/lease/53-the-circle-1/" TargetMode="External"/><Relationship Id="rId13" Type="http://schemas.openxmlformats.org/officeDocument/2006/relationships/hyperlink" Target="https://hamptonscommercialre.com/properties/retail-storefront-in-the-core-shopping-district-of-east-hampton-village/" TargetMode="External"/><Relationship Id="rId14" Type="http://schemas.openxmlformats.org/officeDocument/2006/relationships/hyperlink" Target="https://hamptonscommercialre.com/properties/east-hampton-village-retail-two-boutique-units-available-for-lease/" TargetMode="External"/><Relationship Id="rId15" Type="http://schemas.openxmlformats.org/officeDocument/2006/relationships/hyperlink" Target="https://hamptonscommercialre.com/properties/one-of-a-kind-retail-outlet-with-character-in-east-hampton/" TargetMode="External"/><Relationship Id="rId16" Type="http://schemas.openxmlformats.org/officeDocument/2006/relationships/hyperlink" Target="https://hamptonscommercialre.com/properties/70-main-street-floor-1-southampton-retail-for-lease/" TargetMode="External"/><Relationship Id="rId17" Type="http://schemas.openxmlformats.org/officeDocument/2006/relationships/hyperlink" Target="https://hamptonscommercialre.com/properties/a-rare-commercial-opportunity-at-the-crossroads-of-the-hamptons-most-prestigious-corridor/" TargetMode="External"/><Relationship Id="rId18" Type="http://schemas.openxmlformats.org/officeDocument/2006/relationships/hyperlink" Target="https://www.bizquest.com/real-estate-for-lease/premier-westhampton-restaurant-opportunity/BW2453378" TargetMode="External"/><Relationship Id="rId19" Type="http://schemas.openxmlformats.org/officeDocument/2006/relationships/hyperlink" Target="https://hamptonscommercialre.com/properties/high-visibility-boutique-space/" TargetMode="External"/><Relationship Id="rId20" Type="http://schemas.openxmlformats.org/officeDocument/2006/relationships/hyperlink" Target="https://hamptonscommercialre.com/properties/sag-harbor-main-street-retail/" TargetMode="External"/><Relationship Id="rId21" Type="http://schemas.openxmlformats.org/officeDocument/2006/relationships/hyperlink" Target="https://hamptonscommercialre.com/properties/inline-retail-store-in-southamptons-cultural-hub/" TargetMode="External"/><Relationship Id="rId22" Type="http://schemas.openxmlformats.org/officeDocument/2006/relationships/hyperlink" Target="https://hamptonscommercialre.com/properties/southampton-village-grocery-opportunity-at-15-hill-street-unit-b-southampton-ny/" TargetMode="External"/><Relationship Id="rId23" Type="http://schemas.openxmlformats.org/officeDocument/2006/relationships/hyperlink" Target="https://behindthehedges.com/bar-restaurant-available-lease-highly-visible/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27east.com/real-estate-news/marys-marvelous-in-amagansett-to-close-when-new-tenant-is-found-1404430" TargetMode="External"/><Relationship Id="rId2" Type="http://schemas.openxmlformats.org/officeDocument/2006/relationships/hyperlink" Target="https://www.danspapers.com/2020/02/highway-restaurant-buys-indian-wells-tavern" TargetMode="External"/><Relationship Id="rId3" Type="http://schemas.openxmlformats.org/officeDocument/2006/relationships/hyperlink" Target="https://easthamptonstar.com/villages/2021527/hampton-chutney-co-squeezed-out-square" TargetMode="External"/><Relationship Id="rId4" Type="http://schemas.openxmlformats.org/officeDocument/2006/relationships/hyperlink" Target="https://traded.co/deals/new-york/retail/lease/48-main-street/" TargetMode="External"/><Relationship Id="rId5" Type="http://schemas.openxmlformats.org/officeDocument/2006/relationships/hyperlink" Target="https://traded.co/deals/new-york/retail/lease/53-the-circle/" TargetMode="External"/><Relationship Id="rId6" Type="http://schemas.openxmlformats.org/officeDocument/2006/relationships/hyperlink" Target="https://behindthehedges.com/final-figure-amagansett-restaurant-sells-4-5m" TargetMode="External"/><Relationship Id="rId7" Type="http://schemas.openxmlformats.org/officeDocument/2006/relationships/hyperlink" Target="https://easthamptonstar.com/villages-business/202672/amagansetts-west-end-sees-business-boom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easthamptonstar.com/archive/village-going-going" TargetMode="External"/><Relationship Id="rId2" Type="http://schemas.openxmlformats.org/officeDocument/2006/relationships/hyperlink" Target="https://therealdeal.com/magazine/new-york-june-2009/retail-cools-in-hamptons" TargetMode="External"/><Relationship Id="rId3" Type="http://schemas.openxmlformats.org/officeDocument/2006/relationships/hyperlink" Target="https://therealdeal.com/magazine/new-york-june-2009/retail-cools-in-hamptons" TargetMode="External"/><Relationship Id="rId4" Type="http://schemas.openxmlformats.org/officeDocument/2006/relationships/hyperlink" Target="https://www.corcoran.com/nyc/press-mention/display/12619" TargetMode="External"/><Relationship Id="rId5" Type="http://schemas.openxmlformats.org/officeDocument/2006/relationships/hyperlink" Target="https://www.easthamptonstar.com/archive/outdoors-heading-out" TargetMode="External"/><Relationship Id="rId6" Type="http://schemas.openxmlformats.org/officeDocument/2006/relationships/hyperlink" Target="https://patch.com/new-york/easthampton/gone-local-goes-looking-for-a-new-space" TargetMode="External"/><Relationship Id="rId7" Type="http://schemas.openxmlformats.org/officeDocument/2006/relationships/hyperlink" Target="https://www.easthamptonstar.com/archive/square-dance-amagansett" TargetMode="External"/><Relationship Id="rId8" Type="http://schemas.openxmlformats.org/officeDocument/2006/relationships/hyperlink" Target="https://www.27east.com/real-estate-news/pulse-points-1407695" TargetMode="External"/><Relationship Id="rId9" Type="http://schemas.openxmlformats.org/officeDocument/2006/relationships/hyperlink" Target="https://www.easthamptonstar.com/archive/corner-building-1075-million" TargetMode="External"/><Relationship Id="rId10" Type="http://schemas.openxmlformats.org/officeDocument/2006/relationships/hyperlink" Target="https://patch.com/new-york/riverhead/marys-marvelous-amagansett-close-new-tenant-sought" TargetMode="External"/><Relationship Id="rId11" Type="http://schemas.openxmlformats.org/officeDocument/2006/relationships/hyperlink" Target="https://behindthehedges.com/montauk-retail-plaza-cheaper" TargetMode="External"/><Relationship Id="rId12" Type="http://schemas.openxmlformats.org/officeDocument/2006/relationships/hyperlink" Target="https://27east.com/east-hampton-press/marys-marvelous-leaves-amagansett-organic-krush-to-move-in-1633346" TargetMode="External"/><Relationship Id="rId13" Type="http://schemas.openxmlformats.org/officeDocument/2006/relationships/hyperlink" Target="https://behindthehedges.com/marys-marvelous-amagansett-shut-organic-krush-open/" TargetMode="External"/><Relationship Id="rId14" Type="http://schemas.openxmlformats.org/officeDocument/2006/relationships/hyperlink" Target="https://therealdeal.com/magazine/new-york-july-2017/fashion-and-furnishings-lead-a-retail-revival-in-southampton/" TargetMode="External"/><Relationship Id="rId15" Type="http://schemas.openxmlformats.org/officeDocument/2006/relationships/hyperlink" Target="https://therealdeal.com/tristate/issues_articles/the-hamptons-new-hotspots" TargetMode="External"/><Relationship Id="rId16" Type="http://schemas.openxmlformats.org/officeDocument/2006/relationships/hyperlink" Target="https://therealdeal.com/new-york/tristate/2019/06/03/revolving-retail-in-the-hamptons/" TargetMode="External"/><Relationship Id="rId17" Type="http://schemas.openxmlformats.org/officeDocument/2006/relationships/hyperlink" Target="https://www.danspapers.com/2020/02/highway-restaurant-buys-indian-wells-tavern" TargetMode="External"/><Relationship Id="rId18" Type="http://schemas.openxmlformats.org/officeDocument/2006/relationships/hyperlink" Target="https://behindthehedges.com/two-commercial-properties-in-montauk-back-on-the-market/" TargetMode="External"/><Relationship Id="rId19" Type="http://schemas.openxmlformats.org/officeDocument/2006/relationships/hyperlink" Target="https://www.corcoran.com/listing/for-rent/249-main-street-amagansett-ny-11930/5981523/regionId/3" TargetMode="External"/><Relationship Id="rId20" Type="http://schemas.openxmlformats.org/officeDocument/2006/relationships/hyperlink" Target="https://easthamptonstar.com/villages/2021527/hampton-chutney-co-squeezed-out-square" TargetMode="External"/><Relationship Id="rId21" Type="http://schemas.openxmlformats.org/officeDocument/2006/relationships/hyperlink" Target="https://www.easthamptonstar.com/villages/202192/general-store-east-hampton-its-challenge" TargetMode="External"/><Relationship Id="rId22" Type="http://schemas.openxmlformats.org/officeDocument/2006/relationships/hyperlink" Target="https://www.easthamptonstar.com/business/2022317/recorded-deeds-031722" TargetMode="External"/><Relationship Id="rId23" Type="http://schemas.openxmlformats.org/officeDocument/2006/relationships/hyperlink" Target="https://traded.co/deals/new-york/retail/lease/53-the-circle-1/" TargetMode="External"/><Relationship Id="rId24" Type="http://schemas.openxmlformats.org/officeDocument/2006/relationships/hyperlink" Target="https://behindthehedges.com/southampton-restaurant-sale-first-time-20/" TargetMode="External"/><Relationship Id="rId25" Type="http://schemas.openxmlformats.org/officeDocument/2006/relationships/hyperlink" Target="https://behindthehedges.com/final-figure-amagansett-restaurant-sells-4-5m" TargetMode="External"/><Relationship Id="rId26" Type="http://schemas.openxmlformats.org/officeDocument/2006/relationships/hyperlink" Target="https://behindthehedges.com/hamptons-commercial-real-estate-market/" TargetMode="External"/><Relationship Id="rId27" Type="http://schemas.openxmlformats.org/officeDocument/2006/relationships/hyperlink" Target="https://behindthehedges.com/amagansett-commercial-property-lists-8-million" TargetMode="External"/><Relationship Id="rId28" Type="http://schemas.openxmlformats.org/officeDocument/2006/relationships/hyperlink" Target="https://behindthehedges.com/fall-2024-food-market-commercial-real-estate" TargetMode="External"/><Relationship Id="rId29" Type="http://schemas.openxmlformats.org/officeDocument/2006/relationships/hyperlink" Target="https://www.compass.com/homedetails/2095-Montauk-Hwy-Amagansett-NY-11930/1826297907410452777_lid/" TargetMode="External"/><Relationship Id="rId30" Type="http://schemas.openxmlformats.org/officeDocument/2006/relationships/hyperlink" Target="https://behindthehedges.com/premier-retail-building-downtown-montauk-10m/" TargetMode="External"/><Relationship Id="rId31" Type="http://schemas.openxmlformats.org/officeDocument/2006/relationships/hyperlink" Target="https://www.easthamptonstar.com/food/2025925/adios-coche-comedor" TargetMode="External"/><Relationship Id="rId32" Type="http://schemas.openxmlformats.org/officeDocument/2006/relationships/hyperlink" Target="https://hamptonscommercialre.com/properties/iconic-amagansett-restaurant-turn-key-opportunity/" TargetMode="External"/><Relationship Id="rId33" Type="http://schemas.openxmlformats.org/officeDocument/2006/relationships/hyperlink" Target="https://hamptonscommercialre.com/properties/first-floor-commercial-space/" TargetMode="External"/><Relationship Id="rId34" Type="http://schemas.openxmlformats.org/officeDocument/2006/relationships/hyperlink" Target="https://www.loopnet.com/Listing/136-Main-St-Amagansett-NY/32986784/" TargetMode="External"/><Relationship Id="rId35" Type="http://schemas.openxmlformats.org/officeDocument/2006/relationships/hyperlink" Target="https://easthamptonstar.com/villages-business/202672/amagansetts-west-end-sees-business-boom" TargetMode="Externa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data.ny.gov/resource/7vem-aaz7.json?$where=swis_code=%27472489%27%20AND%20print_key_code=%27171.-1-18%27" TargetMode="External"/><Relationship Id="rId2" Type="http://schemas.openxmlformats.org/officeDocument/2006/relationships/hyperlink" Target="https://data.ny.gov/resource/7vem-aaz7.json" TargetMode="External"/><Relationship Id="rId3" Type="http://schemas.openxmlformats.org/officeDocument/2006/relationships/hyperlink" Target="https://www.propertyshark.com/mason/Property/33812847/207-Main-St-Amagansett-NY-11930/" TargetMode="External"/><Relationship Id="rId4" Type="http://schemas.openxmlformats.org/officeDocument/2006/relationships/hyperlink" Target="https://ecode360.com/10416540" TargetMode="External"/><Relationship Id="rId5" Type="http://schemas.openxmlformats.org/officeDocument/2006/relationships/hyperlink" Target="https://ecode360.com/attachment/EA0658/EA0658-255c%20Use%20Table%20-%20Commercial.pdf" TargetMode="External"/><Relationship Id="rId6" Type="http://schemas.openxmlformats.org/officeDocument/2006/relationships/hyperlink" Target="https://ecode360.com/attachment/EA0658/EA0658-255e%20Business%20Commercial%20Industrial%20-%20Dimensional%20Regs.pdf" TargetMode="External"/><Relationship Id="rId7" Type="http://schemas.openxmlformats.org/officeDocument/2006/relationships/hyperlink" Target="https://www.ehamptonny.gov/AgendaCenter/ViewFile/Item/2157?fileID=5624" TargetMode="External"/><Relationship Id="rId8" Type="http://schemas.openxmlformats.org/officeDocument/2006/relationships/hyperlink" Target="https://suffolkcountyny.gov/Portals/0/formsdocs/planning/scplanningcommission/2020/Staff%20Report%20Town%20of%20East%20Hampton%20-%20Comp%20Plan%20amendment%20East%20Hampton%20Hamlet%20Reports%20Amagansett%20a.pdf" TargetMode="External"/><Relationship Id="rId9" Type="http://schemas.openxmlformats.org/officeDocument/2006/relationships/hyperlink" Target="https://patch.com/new-york/riverhead/marys-marvelous-amagansett-close-new-tenant-sought" TargetMode="External"/><Relationship Id="rId10" Type="http://schemas.openxmlformats.org/officeDocument/2006/relationships/hyperlink" Target="https://www.27east.com/real-estate-news/marys-marvelous-in-amagansett-to-close-when-new-tenant-is-found-1404430" TargetMode="External"/><Relationship Id="rId11" Type="http://schemas.openxmlformats.org/officeDocument/2006/relationships/hyperlink" Target="https://www.danspapers.com/2016/12/marys-marvelous-in-amagansett-closing-and-available-to-lease/" TargetMode="External"/><Relationship Id="rId12" Type="http://schemas.openxmlformats.org/officeDocument/2006/relationships/hyperlink" Target="https://behindthehedges.com/marys-marvelous-in-amagansett-closing-and-available-to-lease/" TargetMode="External"/><Relationship Id="rId13" Type="http://schemas.openxmlformats.org/officeDocument/2006/relationships/hyperlink" Target="https://behindthehedges.com/marys-marvelous-amagansett-shut-organic-krush-open/" TargetMode="External"/><Relationship Id="rId14" Type="http://schemas.openxmlformats.org/officeDocument/2006/relationships/hyperlink" Target="https://www.danspapers.com/2017/06/behind-the-hedges-organic-krush-in-amagansett" TargetMode="External"/><Relationship Id="rId15" Type="http://schemas.openxmlformats.org/officeDocument/2006/relationships/hyperlink" Target="https://27east.com/east-hampton-press/marys-marvelous-leaves-amagansett-organic-krush-to-move-in-1633346" TargetMode="External"/><Relationship Id="rId16" Type="http://schemas.openxmlformats.org/officeDocument/2006/relationships/hyperlink" Target="https://patch.com/new-york/easthampton/marys-marvelous-sold-organic-krush-set-open-shop" TargetMode="External"/><Relationship Id="rId17" Type="http://schemas.openxmlformats.org/officeDocument/2006/relationships/hyperlink" Target="https://hamptons.com/real-estate-real-estate-news-23449-organic-cafe-taking-over-marys-marvelous-html/" TargetMode="External"/><Relationship Id="rId18" Type="http://schemas.openxmlformats.org/officeDocument/2006/relationships/hyperlink" Target="https://marysmarvelous.substack.com/p/the-vacant-storefront-that-held-my" TargetMode="External"/><Relationship Id="rId19" Type="http://schemas.openxmlformats.org/officeDocument/2006/relationships/hyperlink" Target="https://www.easthamptonstar.com/archive/krush-squeezes-gansett" TargetMode="External"/><Relationship Id="rId20" Type="http://schemas.openxmlformats.org/officeDocument/2006/relationships/hyperlink" Target="https://www.danspapers.com/2020/04/organic-krush-reopens-amagansett-location" TargetMode="External"/><Relationship Id="rId21" Type="http://schemas.openxmlformats.org/officeDocument/2006/relationships/hyperlink" Target="https://organickrush.com/locations/" TargetMode="External"/><Relationship Id="rId22" Type="http://schemas.openxmlformats.org/officeDocument/2006/relationships/hyperlink" Target="https://organickrush.com/organic-krush-menu-amagansett/" TargetMode="External"/><Relationship Id="rId23" Type="http://schemas.openxmlformats.org/officeDocument/2006/relationships/hyperlink" Target="https://locations.organickrush.com/ny/amagansett/207-main-street" TargetMode="External"/><Relationship Id="rId24" Type="http://schemas.openxmlformats.org/officeDocument/2006/relationships/hyperlink" Target="https://www.easthamptonstar.com/villages-business/2023216/amagansett-main-street-flux" TargetMode="External"/><Relationship Id="rId25" Type="http://schemas.openxmlformats.org/officeDocument/2006/relationships/hyperlink" Target="https://easthamptonstar.com/government/2020123/more-parking-amagansett-memorial-day" TargetMode="External"/><Relationship Id="rId26" Type="http://schemas.openxmlformats.org/officeDocument/2006/relationships/hyperlink" Target="https://richmondbizsense.com/2023/09/18/organic-krush-restaurant-closes-short-pump-outpost-after-4-years/" TargetMode="External"/><Relationship Id="rId27" Type="http://schemas.openxmlformats.org/officeDocument/2006/relationships/hyperlink" Target="https://richmondbizsense.com/2024/06/17/organic-krush-closes-at-ur-campus-new-eatery-to-open-in-its-place/" TargetMode="External"/><Relationship Id="rId28" Type="http://schemas.openxmlformats.org/officeDocument/2006/relationships/hyperlink" Target="https://hamptonscommercialre.com/properties/iconic-amagansett-restaurant-turn-key-opportunity/" TargetMode="External"/><Relationship Id="rId29" Type="http://schemas.openxmlformats.org/officeDocument/2006/relationships/hyperlink" Target="https://www.compass.com/homedetails/74-A-Montauk-Hwy-Amagansett-NY-11930/2070541251466245481_lid/" TargetMode="External"/><Relationship Id="rId30" Type="http://schemas.openxmlformats.org/officeDocument/2006/relationships/hyperlink" Target="https://www.hamptonsrealestate.com/eng/hampton-rentals/detail/524-l-526-930465/74a-montauk-highway-amagansett-ny-11930" TargetMode="External"/><Relationship Id="rId31" Type="http://schemas.openxmlformats.org/officeDocument/2006/relationships/hyperlink" Target="https://www.cityfeet.com/cont/listing/74a-montauk-hwy-amagansett-ny-11930/cs39907135" TargetMode="External"/><Relationship Id="rId32" Type="http://schemas.openxmlformats.org/officeDocument/2006/relationships/hyperlink" Target="https://www.crexi.com/lease/properties/1155311/new-york-74a-montauk-highway---iconic-amagansett-restaurant" TargetMode="External"/><Relationship Id="rId33" Type="http://schemas.openxmlformats.org/officeDocument/2006/relationships/hyperlink" Target="https://hamptonscommercialre.com/properties/first-floor-commercial-space/" TargetMode="External"/><Relationship Id="rId34" Type="http://schemas.openxmlformats.org/officeDocument/2006/relationships/hyperlink" Target="https://hamptonscommercialre.com/properties/ground-level-commercial-offering/" TargetMode="External"/><Relationship Id="rId35" Type="http://schemas.openxmlformats.org/officeDocument/2006/relationships/hyperlink" Target="https://hamptonscommercialre.com/properties/second-floor-amagansett-commercial-flex-space-iconic-building/" TargetMode="External"/><Relationship Id="rId36" Type="http://schemas.openxmlformats.org/officeDocument/2006/relationships/hyperlink" Target="https://hamptonscommercialre.com/properties/premier-amagansett-commercial-assemblage-136-main-street-11-indian-wells-hwy-amagansett/" TargetMode="External"/><Relationship Id="rId37" Type="http://schemas.openxmlformats.org/officeDocument/2006/relationships/hyperlink" Target="https://www.crexi.com/lease/properties/718872/new-york-11-indian-wells-hwy" TargetMode="External"/><Relationship Id="rId38" Type="http://schemas.openxmlformats.org/officeDocument/2006/relationships/hyperlink" Target="https://www.loopnet.com/Listing/136-Main-St-Amagansett-NY/32986784/" TargetMode="External"/><Relationship Id="rId39" Type="http://schemas.openxmlformats.org/officeDocument/2006/relationships/hyperlink" Target="https://hamptonscommercialre.com/properties/retail-end-cap-prime-visibility/" TargetMode="External"/><Relationship Id="rId40" Type="http://schemas.openxmlformats.org/officeDocument/2006/relationships/hyperlink" Target="https://www.compass.com/agents/the-hamptons-commercial-real-estate-team/" TargetMode="External"/><Relationship Id="rId41" Type="http://schemas.openxmlformats.org/officeDocument/2006/relationships/hyperlink" Target="https://www.compass.com/listing/136-main-street-amagansett-ny-11930/1819738165409919177/" TargetMode="External"/><Relationship Id="rId42" Type="http://schemas.openxmlformats.org/officeDocument/2006/relationships/hyperlink" Target="https://www.compass.com/homedetails/2095-Montauk-Hwy-Amagansett-NY-11930/1826297907410452777_lid/" TargetMode="External"/><Relationship Id="rId43" Type="http://schemas.openxmlformats.org/officeDocument/2006/relationships/hyperlink" Target="https://behindthehedges.com/fall-2024-food-market-commercial-real-estate" TargetMode="External"/><Relationship Id="rId44" Type="http://schemas.openxmlformats.org/officeDocument/2006/relationships/hyperlink" Target="https://www.tenantbase.com/us/building/196079" TargetMode="External"/><Relationship Id="rId45" Type="http://schemas.openxmlformats.org/officeDocument/2006/relationships/hyperlink" Target="https://behindthehedges.com/amagansett-commercial-property-lists-8-million" TargetMode="External"/><Relationship Id="rId46" Type="http://schemas.openxmlformats.org/officeDocument/2006/relationships/hyperlink" Target="https://www.cityfeet.com/cont/listing/519-521-montauk-hwy-amagansett-ny-11930/cs39871633" TargetMode="External"/><Relationship Id="rId47" Type="http://schemas.openxmlformats.org/officeDocument/2006/relationships/hyperlink" Target="https://www.corcoran.com/listing/for-rent/249-main-street-amagansett-ny-11930/5981523/regionId/3" TargetMode="External"/><Relationship Id="rId48" Type="http://schemas.openxmlformats.org/officeDocument/2006/relationships/hyperlink" Target="https://hamptonscommercialre.com/properties-sitemap.xml" TargetMode="External"/><Relationship Id="rId49" Type="http://schemas.openxmlformats.org/officeDocument/2006/relationships/hyperlink" Target="https://www.loopnet.com/search/retail-space/amagansett-ny/for-lease/" TargetMode="External"/><Relationship Id="rId50" Type="http://schemas.openxmlformats.org/officeDocument/2006/relationships/hyperlink" Target="https://hamptonscommercialre.com/properties/17-s-edison-st-montauk-restaurant/" TargetMode="External"/><Relationship Id="rId51" Type="http://schemas.openxmlformats.org/officeDocument/2006/relationships/hyperlink" Target="https://hamptonscommercialre.com/properties/retail-storefront-in-the-core-shopping-district-of-east-hampton-village/" TargetMode="External"/><Relationship Id="rId52" Type="http://schemas.openxmlformats.org/officeDocument/2006/relationships/hyperlink" Target="https://hamptonscommercialre.com/properties/prime-east-hampton-village-retail/" TargetMode="External"/><Relationship Id="rId53" Type="http://schemas.openxmlformats.org/officeDocument/2006/relationships/hyperlink" Target="https://traded.co/deals/new-york/retail/lease/53-the-circle-1/" TargetMode="External"/><Relationship Id="rId54" Type="http://schemas.openxmlformats.org/officeDocument/2006/relationships/hyperlink" Target="https://traded.co/deals/new-york/retail/lease/53-the-circle/" TargetMode="External"/><Relationship Id="rId55" Type="http://schemas.openxmlformats.org/officeDocument/2006/relationships/hyperlink" Target="https://traded.co/deals/new-york/retail/lease/48-main-street/" TargetMode="External"/><Relationship Id="rId56" Type="http://schemas.openxmlformats.org/officeDocument/2006/relationships/hyperlink" Target="https://hamptonscommercialre.com/properties/east-hampton-village-retail-two-boutique-units-available-for-lease/" TargetMode="External"/><Relationship Id="rId57" Type="http://schemas.openxmlformats.org/officeDocument/2006/relationships/hyperlink" Target="https://hamptonscommercialre.com/properties/one-of-a-kind-retail-outlet-with-character-in-east-hampton/" TargetMode="External"/><Relationship Id="rId58" Type="http://schemas.openxmlformats.org/officeDocument/2006/relationships/hyperlink" Target="https://hamptonscommercialre.com/properties/70-main-street-floor-1-southampton-retail-for-lease/" TargetMode="External"/><Relationship Id="rId59" Type="http://schemas.openxmlformats.org/officeDocument/2006/relationships/hyperlink" Target="https://hamptonscommercialre.com/properties/a-rare-commercial-opportunity-at-the-crossroads-of-the-hamptons-most-prestigious-corridor/" TargetMode="External"/><Relationship Id="rId60" Type="http://schemas.openxmlformats.org/officeDocument/2006/relationships/hyperlink" Target="https://www.cityfeet.com/cont/listing/81-montauk-hwy-wainscott-ny-11975/cs41480188" TargetMode="External"/><Relationship Id="rId61" Type="http://schemas.openxmlformats.org/officeDocument/2006/relationships/hyperlink" Target="https://www.bizquest.com/real-estate-for-lease/premier-westhampton-restaurant-opportunity/BW2453378" TargetMode="External"/><Relationship Id="rId62" Type="http://schemas.openxmlformats.org/officeDocument/2006/relationships/hyperlink" Target="https://hamptonscommercialre.com/properties/high-visibility-boutique-space/" TargetMode="External"/><Relationship Id="rId63" Type="http://schemas.openxmlformats.org/officeDocument/2006/relationships/hyperlink" Target="https://hamptonscommercialre.com/properties/sag-harbor-main-street-retail/" TargetMode="External"/><Relationship Id="rId64" Type="http://schemas.openxmlformats.org/officeDocument/2006/relationships/hyperlink" Target="https://hamptonscommercialre.com/properties/inline-retail-store-in-southamptons-cultural-hub/" TargetMode="External"/><Relationship Id="rId65" Type="http://schemas.openxmlformats.org/officeDocument/2006/relationships/hyperlink" Target="https://hamptonscommercialre.com/properties/1-windmill-lane-7-hill-st-southampton/" TargetMode="External"/><Relationship Id="rId66" Type="http://schemas.openxmlformats.org/officeDocument/2006/relationships/hyperlink" Target="https://hamptonscommercialre.com/properties/southampton-village-grocery-opportunity-at-15-hill-street-unit-b-southampton-ny/" TargetMode="External"/><Relationship Id="rId67" Type="http://schemas.openxmlformats.org/officeDocument/2006/relationships/hyperlink" Target="https://behindthehedges.com/bar-restaurant-available-lease-highly-visible/" TargetMode="External"/><Relationship Id="rId68" Type="http://schemas.openxmlformats.org/officeDocument/2006/relationships/hyperlink" Target="https://hamptonscommercialre.com/properties/highly-visible-restaurant-bar-on-montauk-highway-with-an-established-following/" TargetMode="External"/><Relationship Id="rId69" Type="http://schemas.openxmlformats.org/officeDocument/2006/relationships/hyperlink" Target="https://hamptonscommercialre.com/properties/freestanding-commercial-building-rare-vb-zoned-property-with-private-parking-in-the-southampton-village-core/" TargetMode="External"/><Relationship Id="rId70" Type="http://schemas.openxmlformats.org/officeDocument/2006/relationships/hyperlink" Target="https://hamptonscommercialre.com/properties/southampton-village-retail-highly-recognized-freestanding-building-for-sale/" TargetMode="External"/><Relationship Id="rId71" Type="http://schemas.openxmlformats.org/officeDocument/2006/relationships/hyperlink" Target="https://hamptonscommercialre.com/properties/3000sf-multi-structure-property-in-the-sag-harbor-village-office-district/" TargetMode="External"/><Relationship Id="rId72" Type="http://schemas.openxmlformats.org/officeDocument/2006/relationships/hyperlink" Target="https://rightspacecre.com/blog/what-are-triple-net-nnn-charges-in-a-commercial-lease" TargetMode="External"/><Relationship Id="rId73" Type="http://schemas.openxmlformats.org/officeDocument/2006/relationships/hyperlink" Target="https://patch.com/new-york/easthampton/gone-local-goes-looking-for-a-new-space" TargetMode="External"/><Relationship Id="rId74" Type="http://schemas.openxmlformats.org/officeDocument/2006/relationships/hyperlink" Target="https://www.easthamptonstar.com/archive/square-dance-amagansett" TargetMode="External"/><Relationship Id="rId75" Type="http://schemas.openxmlformats.org/officeDocument/2006/relationships/hyperlink" Target="https://www.easthamptonstar.com/archive/lifestyle-shops-fill-gansett-square-capacity" TargetMode="External"/><Relationship Id="rId76" Type="http://schemas.openxmlformats.org/officeDocument/2006/relationships/hyperlink" Target="https://easthamptonstar.com/villages/2021527/hampton-chutney-co-squeezed-out-square" TargetMode="External"/><Relationship Id="rId77" Type="http://schemas.openxmlformats.org/officeDocument/2006/relationships/hyperlink" Target="https://easthamptonstar.com/business-food/2021812/marvelous-new-home-hampton-chutney-co" TargetMode="External"/><Relationship Id="rId78" Type="http://schemas.openxmlformats.org/officeDocument/2006/relationships/hyperlink" Target="https://www.easthamptonstar.com/food/2025925/adios-coche-comedor" TargetMode="External"/><Relationship Id="rId79" Type="http://schemas.openxmlformats.org/officeDocument/2006/relationships/hyperlink" Target="https://therealdeal.com/tristate/issues_articles/the-hamptons-new-hotspots" TargetMode="External"/><Relationship Id="rId80" Type="http://schemas.openxmlformats.org/officeDocument/2006/relationships/hyperlink" Target="https://behindthehedges.com/final-figure-amagansett-restaurant-sells-4-5m" TargetMode="External"/><Relationship Id="rId81" Type="http://schemas.openxmlformats.org/officeDocument/2006/relationships/hyperlink" Target="https://www.danspapers.com/2020/02/highway-restaurant-buys-indian-wells-tavern" TargetMode="External"/><Relationship Id="rId82" Type="http://schemas.openxmlformats.org/officeDocument/2006/relationships/hyperlink" Target="https://www.danspapers.com/2022/10/amagansett-main-street-tavern-restaurant-building-for-sale" TargetMode="External"/><Relationship Id="rId83" Type="http://schemas.openxmlformats.org/officeDocument/2006/relationships/hyperlink" Target="https://27east.com/east-hampton-press/rowdy-hall-to-move-from-east-hampton-village-to-amagansett-after-summer-2159344" TargetMode="External"/><Relationship Id="rId84" Type="http://schemas.openxmlformats.org/officeDocument/2006/relationships/hyperlink" Target="https://behindthehedges.com/amagansett-applied-arts-building-sells-5-2-m" TargetMode="External"/><Relationship Id="rId85" Type="http://schemas.openxmlformats.org/officeDocument/2006/relationships/hyperlink" Target="https://www.easthamptonstar.com/business/2022317/recorded-deeds-031722" TargetMode="External"/><Relationship Id="rId86" Type="http://schemas.openxmlformats.org/officeDocument/2006/relationships/hyperlink" Target="https://easthamptonstar.com/villages-business/202672/amagansetts-west-end-sees-business-boom" TargetMode="External"/><Relationship Id="rId87" Type="http://schemas.openxmlformats.org/officeDocument/2006/relationships/hyperlink" Target="https://www.easthamptonstar.com/archive/village-going-going" TargetMode="External"/><Relationship Id="rId88" Type="http://schemas.openxmlformats.org/officeDocument/2006/relationships/hyperlink" Target="https://therealdeal.com/magazine/new-york-june-2009/retail-cools-in-hamptons" TargetMode="External"/><Relationship Id="rId89" Type="http://schemas.openxmlformats.org/officeDocument/2006/relationships/hyperlink" Target="https://www.corcoran.com/nyc/press-mention/display/12619" TargetMode="External"/><Relationship Id="rId90" Type="http://schemas.openxmlformats.org/officeDocument/2006/relationships/hyperlink" Target="https://www.27east.com/real-estate-news/pulse-points-1407695" TargetMode="External"/><Relationship Id="rId91" Type="http://schemas.openxmlformats.org/officeDocument/2006/relationships/hyperlink" Target="https://therealdeal.com/magazine/new-york-july-2017/fashion-and-furnishings-lead-a-retail-revival-in-southampton/" TargetMode="External"/><Relationship Id="rId92" Type="http://schemas.openxmlformats.org/officeDocument/2006/relationships/hyperlink" Target="https://therealdeal.com/new-york/tristate/2019/06/03/revolving-retail-in-the-hamptons/" TargetMode="External"/><Relationship Id="rId93" Type="http://schemas.openxmlformats.org/officeDocument/2006/relationships/hyperlink" Target="https://www.easthamptonstar.com/villages/202192/general-store-east-hampton-its-challenge" TargetMode="External"/><Relationship Id="rId94" Type="http://schemas.openxmlformats.org/officeDocument/2006/relationships/hyperlink" Target="https://behindthehedges.com/southampton-restaurant-sale-first-time-20/" TargetMode="External"/><Relationship Id="rId95" Type="http://schemas.openxmlformats.org/officeDocument/2006/relationships/hyperlink" Target="https://behindthehedges.com/hamptons-commercial-real-estate-market/" TargetMode="External"/><Relationship Id="rId96" Type="http://schemas.openxmlformats.org/officeDocument/2006/relationships/hyperlink" Target="https://behindthehedges.com/premier-retail-building-downtown-montauk-10m/" TargetMode="External"/><Relationship Id="rId97" Type="http://schemas.openxmlformats.org/officeDocument/2006/relationships/hyperlink" Target="https://behindthehedges.com/montauk-retail-plaza-cheaper" TargetMode="External"/><Relationship Id="rId98" Type="http://schemas.openxmlformats.org/officeDocument/2006/relationships/hyperlink" Target="https://hamptons.com/real-estate-land-and-law-21731-exploring-the-east-end-commercial-real-estate-html/" TargetMode="External"/><Relationship Id="rId99" Type="http://schemas.openxmlformats.org/officeDocument/2006/relationships/hyperlink" Target="https://www.easthamptonstar.com/archive/corner-building-1075-million" TargetMode="External"/><Relationship Id="rId100" Type="http://schemas.openxmlformats.org/officeDocument/2006/relationships/hyperlink" Target="https://wwd.com/business-news/retail/hamptons-retail-scene-whats-new-for-summer-2026-1238932696/" TargetMode="External"/><Relationship Id="rId101" Type="http://schemas.openxmlformats.org/officeDocument/2006/relationships/hyperlink" Target="https://therealdeal.com/magazine/june-2025/not-a-vanity-play/" TargetMode="External"/><Relationship Id="rId102" Type="http://schemas.openxmlformats.org/officeDocument/2006/relationships/hyperlink" Target="https://therealdeal.com/new-york/tristate/2026/05/25/what-to-know-as-hamptons-summer-season-begins/" TargetMode="External"/><Relationship Id="rId103" Type="http://schemas.openxmlformats.org/officeDocument/2006/relationships/hyperlink" Target="https://www.osc.ny.gov/press/releases/2026/07/dinapoli-local-sales-tax-collections-total-127-billion-first-half-2026-68-over-last-year" TargetMode="External"/><Relationship Id="rId104" Type="http://schemas.openxmlformats.org/officeDocument/2006/relationships/hyperlink" Target="https://www.27east.com/east-hampton-press/news/government/article_2c6df056-ba7d-486e-b086-00d254e2632f.html" TargetMode="External"/><Relationship Id="rId105" Type="http://schemas.openxmlformats.org/officeDocument/2006/relationships/hyperlink" Target="https://easthamptonstar.com/government/202635/amagansett-sidewalk-beautification-works" TargetMode="External"/><Relationship Id="rId106" Type="http://schemas.openxmlformats.org/officeDocument/2006/relationships/hyperlink" Target="https://dol.ny.gov/minimum-wage-0" TargetMode="External"/><Relationship Id="rId107" Type="http://schemas.openxmlformats.org/officeDocument/2006/relationships/hyperlink" Target="https://dol.ny.gov/system/files/documents/2025/12/p717_12-25.pdf" TargetMode="External"/><Relationship Id="rId108" Type="http://schemas.openxmlformats.org/officeDocument/2006/relationships/hyperlink" Target="https://www.nrn.com/restaurant-insights/restaurant-industry-faces-modest-growth-amid-cost-pressures-in-2026" TargetMode="External"/><Relationship Id="rId109" Type="http://schemas.openxmlformats.org/officeDocument/2006/relationships/hyperlink" Target="https://www.appraisalinstitute.org/getattachment/efe3dcf2-80e0-4565-97a0-9c643479e512/Market-Rent-and-Highest-and-Best-Use.pdf" TargetMode="External"/><Relationship Id="rId110" Type="http://schemas.openxmlformats.org/officeDocument/2006/relationships/hyperlink" Target="https://www.law.cornell.edu/cfr/text/12/323.2" TargetMode="External"/><Relationship Id="rId111" Type="http://schemas.openxmlformats.org/officeDocument/2006/relationships/hyperlink" Target="https://compstak.com/blog/net-effective-rent-vs-asking-rent-cre-underwriting" TargetMode="External"/><Relationship Id="rId112" Type="http://schemas.openxmlformats.org/officeDocument/2006/relationships/hyperlink" Target="https://compstak.com/blog/retail-rent-concession-trends-compstak-lease-data" TargetMode="External"/><Relationship Id="rId113" Type="http://schemas.openxmlformats.org/officeDocument/2006/relationships/hyperlink" Target="https://www.schuckmanrealty.com/nassau-and-suffolk-retail-a-landlords-market-that-just-keeps-getting-tighter/" TargetMode="External"/><Relationship Id="rId114" Type="http://schemas.openxmlformats.org/officeDocument/2006/relationships/hyperlink" Target="https://27east.com/east-hampton-press/a-new-public-park-and-parking-for-amagansett-2286972" TargetMode="External"/><Relationship Id="rId115" Type="http://schemas.openxmlformats.org/officeDocument/2006/relationships/hyperlink" Target="https://www.easthamptonstar.com/food/2026416/news-foodies-041626" TargetMode="External"/><Relationship Id="rId116" Type="http://schemas.openxmlformats.org/officeDocument/2006/relationships/hyperlink" Target="https://www.27east.com/food-drinks/wolffer-kitchen-sag-harbors-lease-is-up-for-sale-while-the-restaurant-remains-open-1677330" TargetMode="External"/><Relationship Id="rId117" Type="http://schemas.openxmlformats.org/officeDocument/2006/relationships/hyperlink" Target="https://behindthehedges.com/historic-springs-tavern-now-for-sale-in-east-hampton/" TargetMode="External"/><Relationship Id="rId118" Type="http://schemas.openxmlformats.org/officeDocument/2006/relationships/hyperlink" Target="https://hamptonscommercialre.com/closed-deals/" TargetMode="External"/><Relationship Id="rId119" Type="http://schemas.openxmlformats.org/officeDocument/2006/relationships/hyperlink" Target="https://sociallifemagazine.com/luxury-lifestyle/amagansett-restaurants-2026/" TargetMode="External"/><Relationship Id="rId120" Type="http://schemas.openxmlformats.org/officeDocument/2006/relationships/hyperlink" Target="https://www.easthamptonstar.com/government/20251113/new-lights-near-amagansetts-main-street" TargetMode="External"/><Relationship Id="rId121" Type="http://schemas.openxmlformats.org/officeDocument/2006/relationships/hyperlink" Target="https://www.danspapers.com/2019/11/healthy-organic-krush" TargetMode="External"/><Relationship Id="rId122" Type="http://schemas.openxmlformats.org/officeDocument/2006/relationships/hyperlink" Target="https://www.yelp.com/biz/organic-krush-kitchen-and-eatery-amagansett" TargetMode="External"/><Relationship Id="rId123" Type="http://schemas.openxmlformats.org/officeDocument/2006/relationships/hyperlink" Target="https://www.easthamptonstar.com/government/202298/sea-change-amagansett-main-street" TargetMode="External"/><Relationship Id="rId124" Type="http://schemas.openxmlformats.org/officeDocument/2006/relationships/hyperlink" Target="https://www.ehamptonny.gov/DocumentCenter/View/2291/Fine-Arts-Amagansett-Presentation-June-3-2017-PDF" TargetMode="External"/><Relationship Id="rId125" Type="http://schemas.openxmlformats.org/officeDocument/2006/relationships/hyperlink" Target="https://www.easthamptonstar.com/archive/outdoors-heading-out" TargetMode="External"/><Relationship Id="rId126" Type="http://schemas.openxmlformats.org/officeDocument/2006/relationships/hyperlink" Target="https://www.27east.com/real-estate-news/tenants-sought-for-former-cvs-pharmacy-site-in-bridgehampton-2-1410257/" TargetMode="External"/><Relationship Id="rId127" Type="http://schemas.openxmlformats.org/officeDocument/2006/relationships/hyperlink" Target="https://behindthehedges.com/two-commercial-properties-in-montauk-back-on-the-market/" TargetMode="External"/><Relationship Id="rId128" Type="http://schemas.openxmlformats.org/officeDocument/2006/relationships/hyperlink" Target="https://www.nycourts.gov/reporter/3dseries/2024/2024_05898.htm" TargetMode="External"/><Relationship Id="rId129" Type="http://schemas.openxmlformats.org/officeDocument/2006/relationships/hyperlink" Target="https://www.happycow.net/reviews/organic-krush-stony-brook-278874" TargetMode="External"/><Relationship Id="rId130" Type="http://schemas.openxmlformats.org/officeDocument/2006/relationships/hyperlink" Target="https://www.yelp.com/biz/organic-krush-new-hyde-park" TargetMode="External"/><Relationship Id="rId131" Type="http://schemas.openxmlformats.org/officeDocument/2006/relationships/hyperlink" Target="https://www.easthamptonstar.com/archive/poxy-third-time-char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6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18"/>
    <col collapsed="false" customWidth="true" hidden="false" outlineLevel="0" max="6" min="6" style="0" width="4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3</v>
      </c>
      <c r="B4" s="3"/>
      <c r="C4" s="3"/>
      <c r="D4" s="3"/>
      <c r="E4" s="3"/>
      <c r="F4" s="3"/>
    </row>
    <row r="5" customFormat="false" ht="15" hidden="false" customHeight="true" outlineLevel="0" collapsed="false">
      <c r="A5" s="4" t="s">
        <v>4</v>
      </c>
      <c r="B5" s="4" t="s">
        <v>5</v>
      </c>
      <c r="C5" s="4" t="s">
        <v>6</v>
      </c>
      <c r="D5" s="4" t="s">
        <v>7</v>
      </c>
      <c r="E5" s="4"/>
      <c r="F5" s="4"/>
    </row>
    <row r="6" customFormat="false" ht="54" hidden="false" customHeight="true" outlineLevel="0" collapsed="false">
      <c r="A6" s="5" t="s">
        <v>8</v>
      </c>
      <c r="B6" s="6" t="n">
        <v>1100</v>
      </c>
      <c r="C6" s="7" t="s">
        <v>9</v>
      </c>
      <c r="D6" s="8" t="s">
        <v>10</v>
      </c>
      <c r="E6" s="8"/>
      <c r="F6" s="8"/>
    </row>
    <row r="7" customFormat="false" ht="27" hidden="false" customHeight="true" outlineLevel="0" collapsed="false">
      <c r="A7" s="5" t="s">
        <v>11</v>
      </c>
      <c r="B7" s="9" t="n">
        <v>5000</v>
      </c>
      <c r="C7" s="7" t="s">
        <v>12</v>
      </c>
      <c r="D7" s="8" t="s">
        <v>13</v>
      </c>
      <c r="E7" s="8"/>
      <c r="F7" s="8"/>
    </row>
    <row r="8" customFormat="false" ht="40.5" hidden="false" customHeight="true" outlineLevel="0" collapsed="false">
      <c r="A8" s="5" t="s">
        <v>14</v>
      </c>
      <c r="B8" s="10" t="n">
        <v>7</v>
      </c>
      <c r="C8" s="7" t="s">
        <v>15</v>
      </c>
      <c r="D8" s="8" t="s">
        <v>16</v>
      </c>
      <c r="E8" s="8"/>
      <c r="F8" s="8"/>
    </row>
    <row r="10" customFormat="false" ht="15" hidden="false" customHeight="false" outlineLevel="0" collapsed="false">
      <c r="A10" s="3" t="s">
        <v>17</v>
      </c>
      <c r="B10" s="3"/>
      <c r="C10" s="3"/>
      <c r="D10" s="3"/>
      <c r="E10" s="3"/>
      <c r="F10" s="3"/>
    </row>
    <row r="11" customFormat="false" ht="40.5" hidden="false" customHeight="true" outlineLevel="0" collapsed="false">
      <c r="A11" s="5" t="s">
        <v>18</v>
      </c>
      <c r="B11" s="8" t="s">
        <v>19</v>
      </c>
      <c r="C11" s="8"/>
      <c r="D11" s="8"/>
      <c r="E11" s="8"/>
      <c r="F11" s="11" t="s">
        <v>20</v>
      </c>
    </row>
    <row r="12" customFormat="false" ht="13.5" hidden="false" customHeight="true" outlineLevel="0" collapsed="false">
      <c r="A12" s="5" t="s">
        <v>21</v>
      </c>
      <c r="B12" s="8" t="s">
        <v>22</v>
      </c>
      <c r="C12" s="8"/>
      <c r="D12" s="8"/>
      <c r="E12" s="8"/>
      <c r="F12" s="11" t="s">
        <v>23</v>
      </c>
    </row>
    <row r="13" customFormat="false" ht="27" hidden="false" customHeight="true" outlineLevel="0" collapsed="false">
      <c r="A13" s="5" t="s">
        <v>24</v>
      </c>
      <c r="B13" s="8" t="s">
        <v>25</v>
      </c>
      <c r="C13" s="8"/>
      <c r="D13" s="8"/>
      <c r="E13" s="8"/>
      <c r="F13" s="11" t="s">
        <v>26</v>
      </c>
    </row>
    <row r="14" customFormat="false" ht="13.5" hidden="false" customHeight="true" outlineLevel="0" collapsed="false">
      <c r="A14" s="5" t="s">
        <v>27</v>
      </c>
      <c r="B14" s="8" t="s">
        <v>28</v>
      </c>
      <c r="C14" s="8"/>
      <c r="D14" s="8"/>
      <c r="E14" s="8"/>
      <c r="F14" s="11" t="s">
        <v>29</v>
      </c>
    </row>
    <row r="15" customFormat="false" ht="27.75" hidden="false" customHeight="true" outlineLevel="0" collapsed="false">
      <c r="A15" s="5" t="s">
        <v>30</v>
      </c>
      <c r="B15" s="8" t="str">
        <f aca="false">TEXT($B$6,"#,##0")&amp;" SF, one story — broker-reported (2016 Elliman listing) and memoir; unverified by any government record"</f>
        <v>1,100 SF, one story — broker-reported (2016 Elliman listing) and memoir; unverified by any government record</v>
      </c>
      <c r="C15" s="8"/>
      <c r="D15" s="8"/>
      <c r="E15" s="8"/>
      <c r="F15" s="11" t="s">
        <v>31</v>
      </c>
    </row>
    <row r="16" customFormat="false" ht="27" hidden="false" customHeight="true" outlineLevel="0" collapsed="false">
      <c r="A16" s="5" t="s">
        <v>32</v>
      </c>
      <c r="B16" s="8" t="s">
        <v>33</v>
      </c>
      <c r="C16" s="8"/>
      <c r="D16" s="8"/>
      <c r="E16" s="8"/>
      <c r="F16" s="11" t="s">
        <v>34</v>
      </c>
    </row>
    <row r="17" customFormat="false" ht="40.5" hidden="false" customHeight="true" outlineLevel="0" collapsed="false">
      <c r="A17" s="5" t="s">
        <v>35</v>
      </c>
      <c r="B17" s="8" t="s">
        <v>36</v>
      </c>
      <c r="C17" s="8"/>
      <c r="D17" s="8"/>
      <c r="E17" s="8"/>
      <c r="F17" s="11" t="s">
        <v>37</v>
      </c>
    </row>
    <row r="18" customFormat="false" ht="40.5" hidden="false" customHeight="true" outlineLevel="0" collapsed="false">
      <c r="A18" s="5" t="s">
        <v>38</v>
      </c>
      <c r="B18" s="8" t="s">
        <v>39</v>
      </c>
      <c r="C18" s="8"/>
      <c r="D18" s="8"/>
      <c r="E18" s="8"/>
      <c r="F18" s="11" t="s">
        <v>40</v>
      </c>
    </row>
    <row r="19" customFormat="false" ht="27" hidden="false" customHeight="true" outlineLevel="0" collapsed="false">
      <c r="A19" s="5" t="s">
        <v>41</v>
      </c>
      <c r="B19" s="8" t="s">
        <v>42</v>
      </c>
      <c r="C19" s="8"/>
      <c r="D19" s="8"/>
      <c r="E19" s="8"/>
      <c r="F19" s="11" t="s">
        <v>43</v>
      </c>
    </row>
    <row r="20" customFormat="false" ht="27" hidden="false" customHeight="true" outlineLevel="0" collapsed="false">
      <c r="A20" s="5" t="s">
        <v>44</v>
      </c>
      <c r="B20" s="8" t="s">
        <v>45</v>
      </c>
      <c r="C20" s="8"/>
      <c r="D20" s="8"/>
      <c r="E20" s="8"/>
      <c r="F20" s="11" t="s">
        <v>46</v>
      </c>
    </row>
    <row r="21" customFormat="false" ht="15" hidden="false" customHeight="false" outlineLevel="0" collapsed="false">
      <c r="A21" s="5" t="s">
        <v>47</v>
      </c>
      <c r="B21" s="12" t="n">
        <v>3261</v>
      </c>
      <c r="F21" s="11" t="s">
        <v>48</v>
      </c>
    </row>
    <row r="22" customFormat="false" ht="15" hidden="false" customHeight="false" outlineLevel="0" collapsed="false">
      <c r="A22" s="5" t="s">
        <v>49</v>
      </c>
      <c r="B22" s="13" t="n">
        <f aca="false">B21/$B$6</f>
        <v>2.96454545454545</v>
      </c>
      <c r="F22" s="11" t="s">
        <v>50</v>
      </c>
    </row>
    <row r="24" customFormat="false" ht="15" hidden="false" customHeight="false" outlineLevel="0" collapsed="false">
      <c r="A24" s="3" t="s">
        <v>51</v>
      </c>
      <c r="B24" s="3"/>
      <c r="C24" s="3"/>
      <c r="D24" s="3"/>
      <c r="E24" s="3"/>
      <c r="F24" s="3"/>
    </row>
    <row r="25" customFormat="false" ht="15" hidden="false" customHeight="false" outlineLevel="0" collapsed="false">
      <c r="A25" s="5" t="s">
        <v>11</v>
      </c>
      <c r="B25" s="14" t="n">
        <f aca="false">$B$7</f>
        <v>5000</v>
      </c>
      <c r="C25" s="2" t="s">
        <v>52</v>
      </c>
    </row>
    <row r="26" customFormat="false" ht="15" hidden="false" customHeight="false" outlineLevel="0" collapsed="false">
      <c r="A26" s="5" t="s">
        <v>53</v>
      </c>
      <c r="B26" s="14" t="n">
        <f aca="false">$B$7*12</f>
        <v>60000</v>
      </c>
      <c r="C26" s="2" t="s">
        <v>54</v>
      </c>
    </row>
    <row r="27" customFormat="false" ht="15" hidden="false" customHeight="false" outlineLevel="0" collapsed="false">
      <c r="A27" s="5" t="s">
        <v>55</v>
      </c>
      <c r="B27" s="13" t="n">
        <f aca="false">B26/$B$6</f>
        <v>54.5454545454546</v>
      </c>
      <c r="C27" s="2" t="s">
        <v>56</v>
      </c>
    </row>
    <row r="28" customFormat="false" ht="15" hidden="false" customHeight="false" outlineLevel="0" collapsed="false">
      <c r="A28" s="5" t="s">
        <v>57</v>
      </c>
      <c r="B28" s="13" t="n">
        <f aca="false">B27-$B$8</f>
        <v>47.5454545454546</v>
      </c>
      <c r="C28" s="2" t="s">
        <v>58</v>
      </c>
    </row>
    <row r="29" customFormat="false" ht="15" hidden="false" customHeight="false" outlineLevel="0" collapsed="false">
      <c r="A29" s="5" t="s">
        <v>59</v>
      </c>
      <c r="B29" s="15" t="n">
        <f aca="false">B21/B26</f>
        <v>0.05435</v>
      </c>
      <c r="C29" s="2" t="s">
        <v>60</v>
      </c>
    </row>
    <row r="31" customFormat="false" ht="15" hidden="false" customHeight="false" outlineLevel="0" collapsed="false">
      <c r="A31" s="3" t="s">
        <v>61</v>
      </c>
      <c r="B31" s="3"/>
      <c r="C31" s="3"/>
      <c r="D31" s="3"/>
      <c r="E31" s="3"/>
      <c r="F31" s="3"/>
    </row>
    <row r="32" customFormat="false" ht="15" hidden="false" customHeight="false" outlineLevel="0" collapsed="false">
      <c r="A32" s="4" t="s">
        <v>62</v>
      </c>
      <c r="B32" s="4" t="s">
        <v>63</v>
      </c>
      <c r="C32" s="4" t="s">
        <v>64</v>
      </c>
      <c r="D32" s="4" t="s">
        <v>65</v>
      </c>
      <c r="E32" s="4" t="s">
        <v>66</v>
      </c>
    </row>
    <row r="33" customFormat="false" ht="15" hidden="false" customHeight="false" outlineLevel="0" collapsed="false">
      <c r="A33" s="5" t="s">
        <v>67</v>
      </c>
      <c r="B33" s="16" t="n">
        <f aca="false">'Market Rent Analysis'!$B$55</f>
        <v>60</v>
      </c>
      <c r="C33" s="17" t="n">
        <f aca="false">'Market Rent Analysis'!$C$55</f>
        <v>66</v>
      </c>
      <c r="D33" s="16" t="n">
        <f aca="false">'Market Rent Analysis'!$D$55</f>
        <v>72</v>
      </c>
      <c r="E33" s="2" t="s">
        <v>68</v>
      </c>
    </row>
    <row r="34" customFormat="false" ht="15" hidden="false" customHeight="false" outlineLevel="0" collapsed="false">
      <c r="A34" s="5" t="s">
        <v>69</v>
      </c>
      <c r="B34" s="13" t="n">
        <f aca="false">B33+$B$8</f>
        <v>67</v>
      </c>
      <c r="C34" s="13" t="n">
        <f aca="false">C33+$B$8</f>
        <v>73</v>
      </c>
      <c r="D34" s="13" t="n">
        <f aca="false">D33+$B$8</f>
        <v>79</v>
      </c>
      <c r="E34" s="2" t="s">
        <v>70</v>
      </c>
    </row>
    <row r="35" customFormat="false" ht="15" hidden="false" customHeight="false" outlineLevel="0" collapsed="false">
      <c r="A35" s="5" t="s">
        <v>71</v>
      </c>
      <c r="B35" s="14" t="n">
        <f aca="false">B33*$B$6/12</f>
        <v>5500</v>
      </c>
      <c r="C35" s="18" t="n">
        <f aca="false">C33*$B$6/12</f>
        <v>6050</v>
      </c>
      <c r="D35" s="14" t="n">
        <f aca="false">D33*$B$6/12</f>
        <v>6600</v>
      </c>
      <c r="E35" s="2" t="s">
        <v>72</v>
      </c>
    </row>
    <row r="36" customFormat="false" ht="15" hidden="false" customHeight="false" outlineLevel="0" collapsed="false">
      <c r="A36" s="5" t="s">
        <v>73</v>
      </c>
      <c r="B36" s="14" t="n">
        <f aca="false">B35*12</f>
        <v>66000</v>
      </c>
      <c r="C36" s="14" t="n">
        <f aca="false">C35*12</f>
        <v>72600</v>
      </c>
      <c r="D36" s="14" t="n">
        <f aca="false">D35*12</f>
        <v>79200</v>
      </c>
      <c r="E36" s="2"/>
    </row>
    <row r="37" customFormat="false" ht="15" hidden="false" customHeight="false" outlineLevel="0" collapsed="false">
      <c r="A37" s="5" t="s">
        <v>74</v>
      </c>
      <c r="B37" s="14" t="n">
        <f aca="false">B34*$B$6/12</f>
        <v>6141.66666666667</v>
      </c>
      <c r="C37" s="14" t="n">
        <f aca="false">C34*$B$6/12</f>
        <v>6691.66666666667</v>
      </c>
      <c r="D37" s="14" t="n">
        <f aca="false">D34*$B$6/12</f>
        <v>7241.66666666667</v>
      </c>
      <c r="E37" s="2"/>
    </row>
    <row r="38" customFormat="false" ht="15" hidden="false" customHeight="false" outlineLevel="0" collapsed="false">
      <c r="A38" s="5" t="s">
        <v>75</v>
      </c>
      <c r="B38" s="15" t="n">
        <f aca="false">$B$7/B35-1</f>
        <v>-0.0909090909090909</v>
      </c>
      <c r="C38" s="15" t="n">
        <f aca="false">$B$7/C35-1</f>
        <v>-0.173553719008264</v>
      </c>
      <c r="D38" s="15" t="n">
        <f aca="false">$B$7/D35-1</f>
        <v>-0.242424242424242</v>
      </c>
      <c r="E38" s="2" t="s">
        <v>76</v>
      </c>
    </row>
    <row r="39" customFormat="false" ht="15" hidden="false" customHeight="false" outlineLevel="0" collapsed="false">
      <c r="A39" s="19" t="s">
        <v>77</v>
      </c>
      <c r="B39" s="20" t="n">
        <f aca="false">C33</f>
        <v>66</v>
      </c>
      <c r="C39" s="21" t="n">
        <f aca="false">C35</f>
        <v>6050</v>
      </c>
      <c r="D39" s="2" t="s">
        <v>78</v>
      </c>
    </row>
    <row r="41" customFormat="false" ht="15" hidden="false" customHeight="false" outlineLevel="0" collapsed="false">
      <c r="A41" s="3" t="s">
        <v>79</v>
      </c>
      <c r="B41" s="3"/>
      <c r="C41" s="3"/>
      <c r="D41" s="3"/>
      <c r="E41" s="3"/>
      <c r="F41" s="3"/>
    </row>
    <row r="42" customFormat="false" ht="15" hidden="false" customHeight="false" outlineLevel="0" collapsed="false">
      <c r="A42" s="4" t="s">
        <v>80</v>
      </c>
      <c r="B42" s="4" t="s">
        <v>81</v>
      </c>
      <c r="C42" s="4" t="s">
        <v>82</v>
      </c>
      <c r="D42" s="4" t="s">
        <v>83</v>
      </c>
      <c r="E42" s="4" t="s">
        <v>84</v>
      </c>
      <c r="F42" s="4" t="s">
        <v>85</v>
      </c>
    </row>
    <row r="43" customFormat="false" ht="27" hidden="false" customHeight="true" outlineLevel="0" collapsed="false">
      <c r="A43" s="5" t="s">
        <v>86</v>
      </c>
      <c r="B43" s="22" t="n">
        <f aca="false">'Market Rent Analysis'!C74</f>
        <v>5500</v>
      </c>
      <c r="C43" s="13" t="n">
        <f aca="false">B43*12/$B$6</f>
        <v>60</v>
      </c>
      <c r="D43" s="14" t="n">
        <f aca="false">B43*12</f>
        <v>66000</v>
      </c>
      <c r="E43" s="15" t="n">
        <f aca="false">B43/$B$7-1</f>
        <v>0.1</v>
      </c>
      <c r="F43" s="23" t="s">
        <v>87</v>
      </c>
    </row>
    <row r="44" customFormat="false" ht="27" hidden="false" customHeight="true" outlineLevel="0" collapsed="false">
      <c r="A44" s="5" t="s">
        <v>88</v>
      </c>
      <c r="B44" s="22" t="n">
        <f aca="false">'Market Rent Analysis'!C75</f>
        <v>6050</v>
      </c>
      <c r="C44" s="13" t="n">
        <f aca="false">B44*12/$B$6</f>
        <v>66</v>
      </c>
      <c r="D44" s="14" t="n">
        <f aca="false">B44*12</f>
        <v>72600</v>
      </c>
      <c r="E44" s="15" t="n">
        <f aca="false">B44/$B$7-1</f>
        <v>0.21</v>
      </c>
      <c r="F44" s="23" t="s">
        <v>89</v>
      </c>
    </row>
    <row r="45" customFormat="false" ht="27" hidden="false" customHeight="true" outlineLevel="0" collapsed="false">
      <c r="A45" s="5" t="s">
        <v>90</v>
      </c>
      <c r="B45" s="22" t="n">
        <f aca="false">'Market Rent Analysis'!C76</f>
        <v>7000</v>
      </c>
      <c r="C45" s="13" t="n">
        <f aca="false">B45*12/$B$6</f>
        <v>76.3636363636364</v>
      </c>
      <c r="D45" s="14" t="n">
        <f aca="false">B45*12</f>
        <v>84000</v>
      </c>
      <c r="E45" s="15" t="n">
        <f aca="false">B45/$B$7-1</f>
        <v>0.4</v>
      </c>
      <c r="F45" s="23" t="s">
        <v>91</v>
      </c>
    </row>
    <row r="46" customFormat="false" ht="15" hidden="false" customHeight="false" outlineLevel="0" collapsed="false">
      <c r="A46" s="2" t="s">
        <v>92</v>
      </c>
    </row>
    <row r="48" customFormat="false" ht="15" hidden="false" customHeight="false" outlineLevel="0" collapsed="false">
      <c r="A48" s="3" t="s">
        <v>93</v>
      </c>
      <c r="B48" s="3"/>
      <c r="C48" s="3"/>
      <c r="D48" s="3"/>
      <c r="E48" s="3"/>
      <c r="F48" s="3"/>
    </row>
    <row r="49" customFormat="false" ht="15" hidden="false" customHeight="false" outlineLevel="0" collapsed="false">
      <c r="A49" s="5" t="s">
        <v>94</v>
      </c>
      <c r="B49" s="24" t="str">
        <f aca="false">IF($B$7&lt;B35,"BELOW MARKET",IF($B$7&gt;D35,"ABOVE MARKET","WITHIN MARKET RANGE"))</f>
        <v>BELOW MARKET</v>
      </c>
    </row>
    <row r="50" customFormat="false" ht="57.75" hidden="false" customHeight="true" outlineLevel="0" collapsed="false">
      <c r="A50" s="5" t="s">
        <v>95</v>
      </c>
      <c r="B50" s="25" t="str">
        <f aca="false">"Based on the weighted comparable analysis, estimated market rent is "&amp;TEXT(B33,"$0")&amp;"–"&amp;TEXT(D33,"$0")&amp;"/SF/year (NNN), implying "&amp;TEXT(B35,"$#,##0")&amp;"–"&amp;TEXT(D35,"$#,##0")&amp;"/month; the existing "&amp;TEXT($B$7,"$#,##0")&amp;"/month is approximately "&amp;TEXT(ABS(C38),"0%")&amp;" "&amp;IF(C38&lt;0,"below","above")&amp;" the estimated market midpoint of "&amp;TEXT(C35,"$#,##0")&amp;"/month ("&amp;TEXT(B27,"$0.00")&amp;" versus "&amp;TEXT(C33,"$0.00")&amp;"/SF). It is about "&amp;TEXT(ABS(B38),"0%")&amp;IF(B38&lt;0," below"," above")&amp;" the low end of the range and about "&amp;TEXT(ABS(D38),"0%")&amp;IF(D38&lt;0," below"," above")&amp;" the high end."</f>
        <v>Based on the weighted comparable analysis, estimated market rent is $60–$72/SF/year (NNN), implying $5,500–$6,600/month; the existing $5,000/month is approximately 17% below the estimated market midpoint of $6,050/month ($54.55 versus $66.00/SF). It is about 9% below the low end of the range and about 24% below the high end.</v>
      </c>
      <c r="C50" s="25"/>
      <c r="D50" s="25"/>
      <c r="E50" s="25"/>
      <c r="F50" s="25"/>
    </row>
    <row r="51" customFormat="false" ht="30" hidden="false" customHeight="true" outlineLevel="0" collapsed="false">
      <c r="A51" s="5" t="s">
        <v>96</v>
      </c>
      <c r="B51" s="8" t="str">
        <f aca="false">"On a gross-equivalent basis the current "&amp;TEXT(B27,"$0.00")&amp;"/SF compares with a gross-equivalent midpoint of "&amp;TEXT(C34,"$0.00")&amp;"/SF, about "&amp;TEXT(ABS(B27/C34-1),"0%")&amp;" below."</f>
        <v>On a gross-equivalent basis the current $54.55/SF compares with a gross-equivalent midpoint of $73.00/SF, about 25% below.</v>
      </c>
      <c r="C51" s="8"/>
      <c r="D51" s="8"/>
      <c r="E51" s="8"/>
      <c r="F51" s="8"/>
    </row>
    <row r="52" customFormat="false" ht="27" hidden="false" customHeight="true" outlineLevel="0" collapsed="false">
      <c r="A52" s="5" t="s">
        <v>97</v>
      </c>
      <c r="B52" s="8" t="s">
        <v>98</v>
      </c>
      <c r="C52" s="8"/>
      <c r="D52" s="8"/>
      <c r="E52" s="8"/>
      <c r="F52" s="8"/>
    </row>
    <row r="53" customFormat="false" ht="15" hidden="false" customHeight="false" outlineLevel="0" collapsed="false">
      <c r="A53" s="5" t="s">
        <v>99</v>
      </c>
      <c r="B53" s="26" t="n">
        <v>46302</v>
      </c>
    </row>
    <row r="54" customFormat="false" ht="67.5" hidden="false" customHeight="true" outlineLevel="0" collapsed="false">
      <c r="A54" s="5" t="s">
        <v>100</v>
      </c>
      <c r="B54" s="8" t="s">
        <v>101</v>
      </c>
      <c r="C54" s="8"/>
      <c r="D54" s="8"/>
      <c r="E54" s="8"/>
      <c r="F54" s="8"/>
    </row>
    <row r="56" customFormat="false" ht="15" hidden="false" customHeight="false" outlineLevel="0" collapsed="false">
      <c r="A56" s="3" t="s">
        <v>102</v>
      </c>
      <c r="B56" s="3"/>
      <c r="C56" s="3"/>
      <c r="D56" s="3"/>
      <c r="E56" s="3"/>
      <c r="F56" s="3"/>
    </row>
    <row r="57" customFormat="false" ht="13.5" hidden="false" customHeight="true" outlineLevel="0" collapsed="false">
      <c r="A57" s="27" t="s">
        <v>103</v>
      </c>
      <c r="B57" s="8" t="s">
        <v>104</v>
      </c>
      <c r="C57" s="8"/>
      <c r="D57" s="8"/>
      <c r="E57" s="8"/>
      <c r="F57" s="8"/>
    </row>
    <row r="58" customFormat="false" ht="13.5" hidden="false" customHeight="true" outlineLevel="0" collapsed="false">
      <c r="A58" s="5" t="s">
        <v>105</v>
      </c>
      <c r="B58" s="8" t="s">
        <v>106</v>
      </c>
      <c r="C58" s="8"/>
      <c r="D58" s="8"/>
      <c r="E58" s="8"/>
      <c r="F58" s="8"/>
    </row>
    <row r="59" customFormat="false" ht="13.5" hidden="false" customHeight="true" outlineLevel="0" collapsed="false">
      <c r="A59" s="28" t="s">
        <v>107</v>
      </c>
      <c r="B59" s="8" t="s">
        <v>108</v>
      </c>
      <c r="C59" s="8"/>
      <c r="D59" s="8"/>
      <c r="E59" s="8"/>
      <c r="F59" s="8"/>
    </row>
    <row r="60" customFormat="false" ht="27" hidden="false" customHeight="true" outlineLevel="0" collapsed="false">
      <c r="A60" s="29" t="s">
        <v>109</v>
      </c>
      <c r="B60" s="8" t="s">
        <v>110</v>
      </c>
      <c r="C60" s="8"/>
      <c r="D60" s="8"/>
      <c r="E60" s="8"/>
      <c r="F60" s="8"/>
    </row>
    <row r="61" customFormat="false" ht="13.5" hidden="false" customHeight="true" outlineLevel="0" collapsed="false">
      <c r="A61" s="30" t="s">
        <v>111</v>
      </c>
      <c r="B61" s="8" t="s">
        <v>112</v>
      </c>
      <c r="C61" s="8"/>
      <c r="D61" s="8"/>
      <c r="E61" s="8"/>
      <c r="F61" s="8"/>
    </row>
    <row r="63" customFormat="false" ht="15" hidden="false" customHeight="false" outlineLevel="0" collapsed="false">
      <c r="A63" s="31" t="s">
        <v>113</v>
      </c>
    </row>
  </sheetData>
  <mergeCells count="23">
    <mergeCell ref="D5:F5"/>
    <mergeCell ref="D6:F6"/>
    <mergeCell ref="D7:F7"/>
    <mergeCell ref="D8:F8"/>
    <mergeCell ref="B11:E11"/>
    <mergeCell ref="B12:E12"/>
    <mergeCell ref="B13:E13"/>
    <mergeCell ref="B14:E14"/>
    <mergeCell ref="B15:E15"/>
    <mergeCell ref="B16:E16"/>
    <mergeCell ref="B17:E17"/>
    <mergeCell ref="B18:E18"/>
    <mergeCell ref="B19:E19"/>
    <mergeCell ref="B20:E20"/>
    <mergeCell ref="B50:F50"/>
    <mergeCell ref="B51:F51"/>
    <mergeCell ref="B52:F52"/>
    <mergeCell ref="B54:F54"/>
    <mergeCell ref="B57:F57"/>
    <mergeCell ref="B58:F58"/>
    <mergeCell ref="B59:F59"/>
    <mergeCell ref="B60:F60"/>
    <mergeCell ref="B61:F6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30"/>
    <col collapsed="false" customWidth="true" hidden="false" outlineLevel="0" max="5" min="5" style="0" width="9"/>
    <col collapsed="false" customWidth="true" hidden="false" outlineLevel="0" max="6" min="6" style="0" width="16"/>
    <col collapsed="false" customWidth="true" hidden="false" outlineLevel="0" max="7" min="7" style="0" width="26"/>
    <col collapsed="false" customWidth="true" hidden="false" outlineLevel="0" max="8" min="8" style="0" width="19"/>
    <col collapsed="false" customWidth="true" hidden="false" outlineLevel="0" max="9" min="9" style="0" width="14"/>
    <col collapsed="false" customWidth="true" hidden="false" outlineLevel="0" max="10" min="10" style="0" width="22"/>
    <col collapsed="false" customWidth="true" hidden="false" outlineLevel="0" max="11" min="11" style="0" width="19"/>
    <col collapsed="false" customWidth="true" hidden="false" outlineLevel="0" max="12" min="12" style="0" width="26"/>
    <col collapsed="false" customWidth="true" hidden="false" outlineLevel="0" max="13" min="13" style="0" width="24"/>
    <col collapsed="false" customWidth="true" hidden="false" outlineLevel="0" max="14" min="14" style="0" width="30"/>
    <col collapsed="false" customWidth="true" hidden="false" outlineLevel="0" max="15" min="15" style="0" width="22"/>
    <col collapsed="false" customWidth="true" hidden="false" outlineLevel="0" max="16" min="16" style="0" width="29"/>
    <col collapsed="false" customWidth="true" hidden="false" outlineLevel="0" max="17" min="17" style="0" width="21"/>
    <col collapsed="false" customWidth="true" hidden="false" outlineLevel="0" max="18" min="18" style="0" width="9"/>
    <col collapsed="false" customWidth="true" hidden="false" outlineLevel="0" max="19" min="19" style="0" width="70"/>
    <col collapsed="false" customWidth="true" hidden="false" outlineLevel="0" max="20" min="20" style="0" width="60"/>
  </cols>
  <sheetData>
    <row r="1" customFormat="false" ht="17.35" hidden="false" customHeight="false" outlineLevel="0" collapsed="false">
      <c r="A1" s="1" t="s">
        <v>114</v>
      </c>
    </row>
    <row r="2" customFormat="false" ht="15" hidden="false" customHeight="false" outlineLevel="0" collapsed="false">
      <c r="A2" s="2" t="s">
        <v>115</v>
      </c>
    </row>
    <row r="3" customFormat="false" ht="15" hidden="false" customHeight="false" outlineLevel="0" collapsed="false">
      <c r="A3" s="2" t="s">
        <v>116</v>
      </c>
    </row>
    <row r="4" customFormat="false" ht="15" hidden="false" customHeight="false" outlineLevel="0" collapsed="false">
      <c r="A4" s="4" t="s">
        <v>117</v>
      </c>
      <c r="B4" s="4" t="s">
        <v>18</v>
      </c>
      <c r="C4" s="4" t="s">
        <v>118</v>
      </c>
      <c r="D4" s="4" t="s">
        <v>119</v>
      </c>
      <c r="E4" s="4" t="s">
        <v>9</v>
      </c>
      <c r="F4" s="4" t="s">
        <v>120</v>
      </c>
      <c r="G4" s="4" t="s">
        <v>121</v>
      </c>
      <c r="H4" s="4" t="s">
        <v>122</v>
      </c>
      <c r="I4" s="4" t="s">
        <v>123</v>
      </c>
      <c r="J4" s="4" t="s">
        <v>124</v>
      </c>
      <c r="K4" s="4" t="s">
        <v>125</v>
      </c>
      <c r="L4" s="4" t="s">
        <v>126</v>
      </c>
      <c r="M4" s="4" t="s">
        <v>127</v>
      </c>
      <c r="N4" s="4" t="s">
        <v>128</v>
      </c>
      <c r="O4" s="4" t="s">
        <v>129</v>
      </c>
      <c r="P4" s="4" t="s">
        <v>130</v>
      </c>
      <c r="Q4" s="4" t="s">
        <v>131</v>
      </c>
      <c r="R4" s="4" t="s">
        <v>132</v>
      </c>
      <c r="S4" s="4" t="s">
        <v>133</v>
      </c>
      <c r="T4" s="4" t="s">
        <v>134</v>
      </c>
    </row>
    <row r="5" customFormat="false" ht="57.45" hidden="false" customHeight="false" outlineLevel="0" collapsed="false">
      <c r="A5" s="7" t="s">
        <v>135</v>
      </c>
      <c r="B5" s="7" t="s">
        <v>136</v>
      </c>
      <c r="C5" s="7" t="s">
        <v>137</v>
      </c>
      <c r="D5" s="7" t="s">
        <v>138</v>
      </c>
      <c r="E5" s="32" t="n">
        <v>2830</v>
      </c>
      <c r="F5" s="7" t="s">
        <v>139</v>
      </c>
      <c r="G5" s="12" t="n">
        <v>240000</v>
      </c>
      <c r="H5" s="33" t="n">
        <f aca="false">IF(ISNUMBER(G5),G5/12,"n/a")</f>
        <v>20000</v>
      </c>
      <c r="I5" s="34" t="n">
        <f aca="false">IFERROR(IF(ISNUMBER(G5),G5/E5,"n/a"),"n/a")</f>
        <v>84.8056537102474</v>
      </c>
      <c r="J5" s="35" t="str">
        <f aca="false">IF(SUMPRODUCT(($A$42:$A$42=A5)*$B$42:$B$42)&gt;0,SUMPRODUCT(($A$42:$A$42=A5)*$B$42:$B$42)/E5,IF(AND(LEFT(F5,3)="NNN",ISNUMBER(I5)),"Not stated; master "&amp;TEXT('Executive Summary'!$B$8,"$0.00")&amp;" applied","Unknown"))</f>
        <v>Not stated; master $7.00 applied</v>
      </c>
      <c r="K5" s="35" t="n">
        <f aca="false">IF(AND(ISNUMBER(I5),LEFT(F5,3)="NNN"),I5+IF(ISNUMBER(J5),J5,'Executive Summary'!$B$8)+SUMPRODUCT(($A$37:$A$39=A5)*$B$37:$B$39)/$C$31/E5,"n/a")</f>
        <v>116.540636042403</v>
      </c>
      <c r="L5" s="7" t="s">
        <v>140</v>
      </c>
      <c r="M5" s="7" t="s">
        <v>83</v>
      </c>
      <c r="N5" s="7" t="s">
        <v>141</v>
      </c>
      <c r="O5" s="7" t="s">
        <v>142</v>
      </c>
      <c r="P5" s="7" t="s">
        <v>143</v>
      </c>
      <c r="Q5" s="36" t="n">
        <v>3</v>
      </c>
      <c r="R5" s="36" t="n">
        <v>1</v>
      </c>
      <c r="S5" s="37" t="s">
        <v>144</v>
      </c>
      <c r="T5" s="38" t="s">
        <v>145</v>
      </c>
    </row>
    <row r="6" customFormat="false" ht="35.05" hidden="false" customHeight="false" outlineLevel="0" collapsed="false">
      <c r="A6" s="7" t="s">
        <v>146</v>
      </c>
      <c r="B6" s="7" t="s">
        <v>136</v>
      </c>
      <c r="C6" s="7" t="s">
        <v>137</v>
      </c>
      <c r="D6" s="7" t="s">
        <v>147</v>
      </c>
      <c r="E6" s="32" t="n">
        <v>2830</v>
      </c>
      <c r="F6" s="7" t="s">
        <v>148</v>
      </c>
      <c r="G6" s="39" t="s">
        <v>149</v>
      </c>
      <c r="H6" s="33" t="str">
        <f aca="false">IF(ISNUMBER(G6),G6/12,"n/a")</f>
        <v>n/a</v>
      </c>
      <c r="I6" s="34" t="str">
        <f aca="false">IFERROR(IF(ISNUMBER(G6),G6/E6,"n/a"),"n/a")</f>
        <v>n/a</v>
      </c>
      <c r="J6" s="35" t="str">
        <f aca="false">IF(SUMPRODUCT(($A$42:$A$42=A6)*$B$42:$B$42)&gt;0,SUMPRODUCT(($A$42:$A$42=A6)*$B$42:$B$42)/E6,IF(AND(LEFT(F6,3)="NNN",ISNUMBER(I6)),"Not stated; master "&amp;TEXT('Executive Summary'!$B$8,"$0.00")&amp;" applied","Unknown"))</f>
        <v>Unknown</v>
      </c>
      <c r="K6" s="35" t="str">
        <f aca="false">IF(AND(ISNUMBER(I6),LEFT(F6,3)="NNN"),I6+IF(ISNUMBER(J6),J6,'Executive Summary'!$B$8)+SUMPRODUCT(($A$37:$A$39=A6)*$B$37:$B$39)/$C$31/E6,"n/a")</f>
        <v>n/a</v>
      </c>
      <c r="L6" s="7" t="s">
        <v>150</v>
      </c>
      <c r="M6" s="7" t="s">
        <v>151</v>
      </c>
      <c r="N6" s="7" t="s">
        <v>152</v>
      </c>
      <c r="O6" s="7" t="s">
        <v>153</v>
      </c>
      <c r="P6" s="7" t="s">
        <v>154</v>
      </c>
      <c r="Q6" s="36" t="n">
        <v>3</v>
      </c>
      <c r="R6" s="36" t="n">
        <v>1</v>
      </c>
      <c r="S6" s="37" t="s">
        <v>155</v>
      </c>
      <c r="T6" s="38" t="s">
        <v>156</v>
      </c>
    </row>
    <row r="7" customFormat="false" ht="23.85" hidden="false" customHeight="false" outlineLevel="0" collapsed="false">
      <c r="A7" s="7" t="s">
        <v>157</v>
      </c>
      <c r="B7" s="7" t="s">
        <v>158</v>
      </c>
      <c r="C7" s="7" t="s">
        <v>137</v>
      </c>
      <c r="D7" s="7" t="s">
        <v>159</v>
      </c>
      <c r="E7" s="32" t="n">
        <v>2480</v>
      </c>
      <c r="F7" s="7" t="s">
        <v>139</v>
      </c>
      <c r="G7" s="12" t="n">
        <v>161200</v>
      </c>
      <c r="H7" s="33" t="n">
        <f aca="false">IF(ISNUMBER(G7),G7/12,"n/a")</f>
        <v>13433.3333333333</v>
      </c>
      <c r="I7" s="34" t="n">
        <f aca="false">IFERROR(IF(ISNUMBER(G7),G7/E7,"n/a"),"n/a")</f>
        <v>65</v>
      </c>
      <c r="J7" s="35" t="str">
        <f aca="false">IF(SUMPRODUCT(($A$42:$A$42=A7)*$B$42:$B$42)&gt;0,SUMPRODUCT(($A$42:$A$42=A7)*$B$42:$B$42)/E7,IF(AND(LEFT(F7,3)="NNN",ISNUMBER(I7)),"Not stated; master "&amp;TEXT('Executive Summary'!$B$8,"$0.00")&amp;" applied","Unknown"))</f>
        <v>Not stated; master $7.00 applied</v>
      </c>
      <c r="K7" s="35" t="n">
        <f aca="false">IF(AND(ISNUMBER(I7),LEFT(F7,3)="NNN"),I7+IF(ISNUMBER(J7),J7,'Executive Summary'!$B$8)+SUMPRODUCT(($A$37:$A$39=A7)*$B$37:$B$39)/$C$31/E7,"n/a")</f>
        <v>72</v>
      </c>
      <c r="L7" s="7" t="s">
        <v>160</v>
      </c>
      <c r="M7" s="7" t="s">
        <v>83</v>
      </c>
      <c r="N7" s="7" t="s">
        <v>161</v>
      </c>
      <c r="O7" s="7" t="s">
        <v>162</v>
      </c>
      <c r="P7" s="7" t="s">
        <v>143</v>
      </c>
      <c r="Q7" s="36" t="n">
        <v>3</v>
      </c>
      <c r="R7" s="36" t="n">
        <v>2</v>
      </c>
      <c r="S7" s="37" t="s">
        <v>163</v>
      </c>
      <c r="T7" s="38" t="s">
        <v>164</v>
      </c>
    </row>
    <row r="8" customFormat="false" ht="23.85" hidden="false" customHeight="false" outlineLevel="0" collapsed="false">
      <c r="A8" s="7" t="s">
        <v>165</v>
      </c>
      <c r="B8" s="7" t="s">
        <v>158</v>
      </c>
      <c r="C8" s="7" t="s">
        <v>137</v>
      </c>
      <c r="D8" s="7" t="s">
        <v>166</v>
      </c>
      <c r="E8" s="32" t="n">
        <v>2877</v>
      </c>
      <c r="F8" s="7" t="s">
        <v>139</v>
      </c>
      <c r="G8" s="12" t="n">
        <v>100695</v>
      </c>
      <c r="H8" s="33" t="n">
        <f aca="false">IF(ISNUMBER(G8),G8/12,"n/a")</f>
        <v>8391.25</v>
      </c>
      <c r="I8" s="34" t="n">
        <f aca="false">IFERROR(IF(ISNUMBER(G8),G8/E8,"n/a"),"n/a")</f>
        <v>35</v>
      </c>
      <c r="J8" s="35" t="str">
        <f aca="false">IF(SUMPRODUCT(($A$42:$A$42=A8)*$B$42:$B$42)&gt;0,SUMPRODUCT(($A$42:$A$42=A8)*$B$42:$B$42)/E8,IF(AND(LEFT(F8,3)="NNN",ISNUMBER(I8)),"Not stated; master "&amp;TEXT('Executive Summary'!$B$8,"$0.00")&amp;" applied","Unknown"))</f>
        <v>Not stated; master $7.00 applied</v>
      </c>
      <c r="K8" s="35" t="n">
        <f aca="false">IF(AND(ISNUMBER(I8),LEFT(F8,3)="NNN"),I8+IF(ISNUMBER(J8),J8,'Executive Summary'!$B$8)+SUMPRODUCT(($A$37:$A$39=A8)*$B$37:$B$39)/$C$31/E8,"n/a")</f>
        <v>42</v>
      </c>
      <c r="L8" s="7" t="s">
        <v>167</v>
      </c>
      <c r="M8" s="7" t="s">
        <v>83</v>
      </c>
      <c r="N8" s="7" t="s">
        <v>168</v>
      </c>
      <c r="O8" s="7" t="s">
        <v>169</v>
      </c>
      <c r="P8" s="7" t="s">
        <v>143</v>
      </c>
      <c r="Q8" s="36" t="n">
        <v>2</v>
      </c>
      <c r="R8" s="36" t="n">
        <v>2</v>
      </c>
      <c r="S8" s="37" t="s">
        <v>170</v>
      </c>
      <c r="T8" s="38" t="s">
        <v>171</v>
      </c>
    </row>
    <row r="9" customFormat="false" ht="15" hidden="false" customHeight="false" outlineLevel="0" collapsed="false">
      <c r="A9" s="7" t="s">
        <v>172</v>
      </c>
      <c r="B9" s="7" t="s">
        <v>158</v>
      </c>
      <c r="C9" s="7" t="s">
        <v>137</v>
      </c>
      <c r="D9" s="7" t="s">
        <v>173</v>
      </c>
      <c r="E9" s="32" t="n">
        <v>2844</v>
      </c>
      <c r="F9" s="7" t="s">
        <v>139</v>
      </c>
      <c r="G9" s="12" t="n">
        <v>142200</v>
      </c>
      <c r="H9" s="33" t="n">
        <f aca="false">IF(ISNUMBER(G9),G9/12,"n/a")</f>
        <v>11850</v>
      </c>
      <c r="I9" s="34" t="n">
        <f aca="false">IFERROR(IF(ISNUMBER(G9),G9/E9,"n/a"),"n/a")</f>
        <v>50</v>
      </c>
      <c r="J9" s="35" t="str">
        <f aca="false">IF(SUMPRODUCT(($A$42:$A$42=A9)*$B$42:$B$42)&gt;0,SUMPRODUCT(($A$42:$A$42=A9)*$B$42:$B$42)/E9,IF(AND(LEFT(F9,3)="NNN",ISNUMBER(I9)),"Not stated; master "&amp;TEXT('Executive Summary'!$B$8,"$0.00")&amp;" applied","Unknown"))</f>
        <v>Not stated; master $7.00 applied</v>
      </c>
      <c r="K9" s="35" t="n">
        <f aca="false">IF(AND(ISNUMBER(I9),LEFT(F9,3)="NNN"),I9+IF(ISNUMBER(J9),J9,'Executive Summary'!$B$8)+SUMPRODUCT(($A$37:$A$39=A9)*$B$37:$B$39)/$C$31/E9,"n/a")</f>
        <v>57</v>
      </c>
      <c r="L9" s="7" t="s">
        <v>167</v>
      </c>
      <c r="M9" s="7" t="s">
        <v>83</v>
      </c>
      <c r="N9" s="7" t="s">
        <v>174</v>
      </c>
      <c r="O9" s="7" t="s">
        <v>175</v>
      </c>
      <c r="P9" s="7" t="s">
        <v>143</v>
      </c>
      <c r="Q9" s="36" t="n">
        <v>1</v>
      </c>
      <c r="R9" s="36" t="n">
        <v>2</v>
      </c>
      <c r="S9" s="37" t="s">
        <v>176</v>
      </c>
      <c r="T9" s="38" t="s">
        <v>177</v>
      </c>
    </row>
    <row r="10" customFormat="false" ht="23.85" hidden="false" customHeight="false" outlineLevel="0" collapsed="false">
      <c r="A10" s="7" t="s">
        <v>178</v>
      </c>
      <c r="B10" s="7" t="s">
        <v>179</v>
      </c>
      <c r="C10" s="7" t="s">
        <v>137</v>
      </c>
      <c r="D10" s="7" t="s">
        <v>180</v>
      </c>
      <c r="E10" s="32" t="n">
        <v>500</v>
      </c>
      <c r="F10" s="7" t="s">
        <v>139</v>
      </c>
      <c r="G10" s="12" t="n">
        <v>96000</v>
      </c>
      <c r="H10" s="33" t="n">
        <f aca="false">IF(ISNUMBER(G10),G10/12,"n/a")</f>
        <v>8000</v>
      </c>
      <c r="I10" s="34" t="n">
        <f aca="false">IFERROR(IF(ISNUMBER(G10),G10/E10,"n/a"),"n/a")</f>
        <v>192</v>
      </c>
      <c r="J10" s="35" t="str">
        <f aca="false">IF(SUMPRODUCT(($A$42:$A$42=A10)*$B$42:$B$42)&gt;0,SUMPRODUCT(($A$42:$A$42=A10)*$B$42:$B$42)/E10,IF(AND(LEFT(F10,3)="NNN",ISNUMBER(I10)),"Not stated; master "&amp;TEXT('Executive Summary'!$B$8,"$0.00")&amp;" applied","Unknown"))</f>
        <v>Not stated; master $7.00 applied</v>
      </c>
      <c r="K10" s="35" t="n">
        <f aca="false">IF(AND(ISNUMBER(I10),LEFT(F10,3)="NNN"),I10+IF(ISNUMBER(J10),J10,'Executive Summary'!$B$8)+SUMPRODUCT(($A$37:$A$39=A10)*$B$37:$B$39)/$C$31/E10,"n/a")</f>
        <v>199</v>
      </c>
      <c r="L10" s="7" t="s">
        <v>167</v>
      </c>
      <c r="M10" s="7" t="s">
        <v>83</v>
      </c>
      <c r="N10" s="7" t="s">
        <v>181</v>
      </c>
      <c r="O10" s="7" t="s">
        <v>182</v>
      </c>
      <c r="P10" s="7" t="s">
        <v>183</v>
      </c>
      <c r="Q10" s="36" t="n">
        <v>2</v>
      </c>
      <c r="R10" s="36" t="n">
        <v>2</v>
      </c>
      <c r="S10" s="37" t="s">
        <v>184</v>
      </c>
      <c r="T10" s="38" t="s">
        <v>185</v>
      </c>
    </row>
    <row r="11" customFormat="false" ht="23.85" hidden="false" customHeight="false" outlineLevel="0" collapsed="false">
      <c r="A11" s="7" t="s">
        <v>186</v>
      </c>
      <c r="B11" s="7" t="s">
        <v>179</v>
      </c>
      <c r="C11" s="7" t="s">
        <v>137</v>
      </c>
      <c r="D11" s="7" t="s">
        <v>187</v>
      </c>
      <c r="E11" s="32" t="n">
        <v>2000</v>
      </c>
      <c r="F11" s="7" t="s">
        <v>188</v>
      </c>
      <c r="G11" s="12" t="n">
        <v>180000</v>
      </c>
      <c r="H11" s="33" t="n">
        <f aca="false">IF(ISNUMBER(G11),G11/12,"n/a")</f>
        <v>15000</v>
      </c>
      <c r="I11" s="34" t="n">
        <f aca="false">IFERROR(IF(ISNUMBER(G11),G11/E11,"n/a"),"n/a")</f>
        <v>90</v>
      </c>
      <c r="J11" s="35" t="str">
        <f aca="false">IF(SUMPRODUCT(($A$42:$A$42=A11)*$B$42:$B$42)&gt;0,SUMPRODUCT(($A$42:$A$42=A11)*$B$42:$B$42)/E11,IF(AND(LEFT(F11,3)="NNN",ISNUMBER(I11)),"Not stated; master "&amp;TEXT('Executive Summary'!$B$8,"$0.00")&amp;" applied","Unknown"))</f>
        <v>Unknown</v>
      </c>
      <c r="K11" s="35" t="str">
        <f aca="false">IF(AND(ISNUMBER(I11),LEFT(F11,3)="NNN"),I11+IF(ISNUMBER(J11),J11,'Executive Summary'!$B$8)+SUMPRODUCT(($A$37:$A$39=A11)*$B$37:$B$39)/$C$31/E11,"n/a")</f>
        <v>n/a</v>
      </c>
      <c r="L11" s="7" t="s">
        <v>148</v>
      </c>
      <c r="M11" s="7" t="s">
        <v>83</v>
      </c>
      <c r="N11" s="7" t="s">
        <v>189</v>
      </c>
      <c r="O11" s="7" t="s">
        <v>190</v>
      </c>
      <c r="P11" s="7" t="s">
        <v>143</v>
      </c>
      <c r="Q11" s="36" t="n">
        <v>1</v>
      </c>
      <c r="R11" s="36" t="n">
        <v>2</v>
      </c>
      <c r="S11" s="37" t="s">
        <v>191</v>
      </c>
      <c r="T11" s="38" t="s">
        <v>192</v>
      </c>
    </row>
    <row r="12" customFormat="false" ht="46.25" hidden="false" customHeight="false" outlineLevel="0" collapsed="false">
      <c r="A12" s="7" t="s">
        <v>193</v>
      </c>
      <c r="B12" s="7" t="s">
        <v>194</v>
      </c>
      <c r="C12" s="7" t="s">
        <v>195</v>
      </c>
      <c r="D12" s="7" t="s">
        <v>196</v>
      </c>
      <c r="E12" s="32" t="n">
        <v>4476</v>
      </c>
      <c r="F12" s="7" t="s">
        <v>139</v>
      </c>
      <c r="G12" s="12" t="n">
        <v>180000</v>
      </c>
      <c r="H12" s="33" t="n">
        <f aca="false">IF(ISNUMBER(G12),G12/12,"n/a")</f>
        <v>15000</v>
      </c>
      <c r="I12" s="34" t="n">
        <f aca="false">IFERROR(IF(ISNUMBER(G12),G12/E12,"n/a"),"n/a")</f>
        <v>40.2144772117962</v>
      </c>
      <c r="J12" s="35" t="n">
        <f aca="false">IF(SUMPRODUCT(($A$42:$A$42=A12)*$B$42:$B$42)&gt;0,SUMPRODUCT(($A$42:$A$42=A12)*$B$42:$B$42)/E12,IF(AND(LEFT(F12,3)="NNN",ISNUMBER(I12)),"Not stated; master "&amp;TEXT('Executive Summary'!$B$8,"$0.00")&amp;" applied","Unknown"))</f>
        <v>8.93655049151028</v>
      </c>
      <c r="K12" s="35" t="n">
        <f aca="false">IF(AND(ISNUMBER(I12),LEFT(F12,3)="NNN"),I12+IF(ISNUMBER(J12),J12,'Executive Summary'!$B$8)+SUMPRODUCT(($A$37:$A$39=A12)*$B$37:$B$39)/$C$31/E12,"n/a")</f>
        <v>49.1510277033065</v>
      </c>
      <c r="L12" s="7" t="s">
        <v>148</v>
      </c>
      <c r="M12" s="7" t="s">
        <v>197</v>
      </c>
      <c r="N12" s="7" t="s">
        <v>198</v>
      </c>
      <c r="O12" s="7" t="s">
        <v>199</v>
      </c>
      <c r="P12" s="7" t="s">
        <v>143</v>
      </c>
      <c r="Q12" s="36" t="n">
        <v>2</v>
      </c>
      <c r="R12" s="36" t="n">
        <v>2</v>
      </c>
      <c r="S12" s="37" t="s">
        <v>200</v>
      </c>
      <c r="T12" s="38" t="s">
        <v>201</v>
      </c>
    </row>
    <row r="13" customFormat="false" ht="15" hidden="false" customHeight="false" outlineLevel="0" collapsed="false">
      <c r="A13" s="7" t="s">
        <v>202</v>
      </c>
      <c r="B13" s="7" t="s">
        <v>202</v>
      </c>
      <c r="C13" s="7" t="s">
        <v>203</v>
      </c>
      <c r="D13" s="7" t="s">
        <v>204</v>
      </c>
      <c r="E13" s="32" t="n">
        <v>5000</v>
      </c>
      <c r="F13" s="7" t="s">
        <v>139</v>
      </c>
      <c r="G13" s="39" t="s">
        <v>205</v>
      </c>
      <c r="H13" s="33" t="str">
        <f aca="false">IF(ISNUMBER(G13),G13/12,"n/a")</f>
        <v>n/a</v>
      </c>
      <c r="I13" s="34" t="str">
        <f aca="false">IFERROR(IF(ISNUMBER(G13),G13/E13,"n/a"),"n/a")</f>
        <v>n/a</v>
      </c>
      <c r="J13" s="35" t="str">
        <f aca="false">IF(SUMPRODUCT(($A$42:$A$42=A13)*$B$42:$B$42)&gt;0,SUMPRODUCT(($A$42:$A$42=A13)*$B$42:$B$42)/E13,IF(AND(LEFT(F13,3)="NNN",ISNUMBER(I13)),"Not stated; master "&amp;TEXT('Executive Summary'!$B$8,"$0.00")&amp;" applied","Unknown"))</f>
        <v>Unknown</v>
      </c>
      <c r="K13" s="35" t="str">
        <f aca="false">IF(AND(ISNUMBER(I13),LEFT(F13,3)="NNN"),I13+IF(ISNUMBER(J13),J13,'Executive Summary'!$B$8)+SUMPRODUCT(($A$37:$A$39=A13)*$B$37:$B$39)/$C$31/E13,"n/a")</f>
        <v>n/a</v>
      </c>
      <c r="L13" s="7" t="s">
        <v>167</v>
      </c>
      <c r="M13" s="7" t="s">
        <v>83</v>
      </c>
      <c r="N13" s="7" t="s">
        <v>206</v>
      </c>
      <c r="O13" s="7" t="s">
        <v>207</v>
      </c>
      <c r="P13" s="7" t="s">
        <v>208</v>
      </c>
      <c r="Q13" s="36" t="n">
        <v>2</v>
      </c>
      <c r="R13" s="36" t="n">
        <v>2</v>
      </c>
      <c r="S13" s="37" t="s">
        <v>209</v>
      </c>
      <c r="T13" s="38" t="s">
        <v>210</v>
      </c>
    </row>
    <row r="14" customFormat="false" ht="35.05" hidden="false" customHeight="false" outlineLevel="0" collapsed="false">
      <c r="A14" s="7" t="s">
        <v>211</v>
      </c>
      <c r="B14" s="7" t="s">
        <v>212</v>
      </c>
      <c r="C14" s="7" t="s">
        <v>137</v>
      </c>
      <c r="D14" s="7" t="s">
        <v>213</v>
      </c>
      <c r="E14" s="32" t="n">
        <v>2000</v>
      </c>
      <c r="F14" s="7" t="s">
        <v>148</v>
      </c>
      <c r="G14" s="39" t="s">
        <v>214</v>
      </c>
      <c r="H14" s="33" t="str">
        <f aca="false">IF(ISNUMBER(G14),G14/12,"n/a")</f>
        <v>n/a</v>
      </c>
      <c r="I14" s="34" t="str">
        <f aca="false">IFERROR(IF(ISNUMBER(G14),G14/E14,"n/a"),"n/a")</f>
        <v>n/a</v>
      </c>
      <c r="J14" s="35" t="str">
        <f aca="false">IF(SUMPRODUCT(($A$42:$A$42=A14)*$B$42:$B$42)&gt;0,SUMPRODUCT(($A$42:$A$42=A14)*$B$42:$B$42)/E14,IF(AND(LEFT(F14,3)="NNN",ISNUMBER(I14)),"Not stated; master "&amp;TEXT('Executive Summary'!$B$8,"$0.00")&amp;" applied","Unknown"))</f>
        <v>Unknown</v>
      </c>
      <c r="K14" s="35" t="str">
        <f aca="false">IF(AND(ISNUMBER(I14),LEFT(F14,3)="NNN"),I14+IF(ISNUMBER(J14),J14,'Executive Summary'!$B$8)+SUMPRODUCT(($A$37:$A$39=A14)*$B$37:$B$39)/$C$31/E14,"n/a")</f>
        <v>n/a</v>
      </c>
      <c r="L14" s="7" t="s">
        <v>215</v>
      </c>
      <c r="M14" s="7" t="s">
        <v>151</v>
      </c>
      <c r="N14" s="7" t="s">
        <v>216</v>
      </c>
      <c r="O14" s="7" t="s">
        <v>217</v>
      </c>
      <c r="P14" s="7" t="s">
        <v>218</v>
      </c>
      <c r="Q14" s="36" t="n">
        <v>2</v>
      </c>
      <c r="R14" s="36" t="n">
        <v>2</v>
      </c>
      <c r="S14" s="37" t="s">
        <v>219</v>
      </c>
      <c r="T14" s="38" t="s">
        <v>220</v>
      </c>
    </row>
    <row r="15" customFormat="false" ht="23.85" hidden="false" customHeight="false" outlineLevel="0" collapsed="false">
      <c r="A15" s="7" t="s">
        <v>221</v>
      </c>
      <c r="B15" s="7" t="s">
        <v>222</v>
      </c>
      <c r="C15" s="7" t="s">
        <v>223</v>
      </c>
      <c r="D15" s="7" t="s">
        <v>224</v>
      </c>
      <c r="E15" s="32" t="n">
        <v>2729</v>
      </c>
      <c r="F15" s="7" t="s">
        <v>139</v>
      </c>
      <c r="G15" s="12" t="n">
        <v>156000</v>
      </c>
      <c r="H15" s="33" t="n">
        <f aca="false">IF(ISNUMBER(G15),G15/12,"n/a")</f>
        <v>13000</v>
      </c>
      <c r="I15" s="34" t="n">
        <f aca="false">IFERROR(IF(ISNUMBER(G15),G15/E15,"n/a"),"n/a")</f>
        <v>57.1637962623672</v>
      </c>
      <c r="J15" s="35" t="str">
        <f aca="false">IF(SUMPRODUCT(($A$42:$A$42=A15)*$B$42:$B$42)&gt;0,SUMPRODUCT(($A$42:$A$42=A15)*$B$42:$B$42)/E15,IF(AND(LEFT(F15,3)="NNN",ISNUMBER(I15)),"Not stated; master "&amp;TEXT('Executive Summary'!$B$8,"$0.00")&amp;" applied","Unknown"))</f>
        <v>Not stated; master $7.00 applied</v>
      </c>
      <c r="K15" s="35" t="n">
        <f aca="false">IF(AND(ISNUMBER(I15),LEFT(F15,3)="NNN"),I15+IF(ISNUMBER(J15),J15,'Executive Summary'!$B$8)+SUMPRODUCT(($A$37:$A$39=A15)*$B$37:$B$39)/$C$31/E15,"n/a")</f>
        <v>73.3246610480029</v>
      </c>
      <c r="L15" s="7" t="s">
        <v>225</v>
      </c>
      <c r="M15" s="7" t="s">
        <v>83</v>
      </c>
      <c r="N15" s="7" t="s">
        <v>226</v>
      </c>
      <c r="O15" s="7" t="s">
        <v>227</v>
      </c>
      <c r="P15" s="7" t="s">
        <v>143</v>
      </c>
      <c r="Q15" s="36" t="n">
        <v>3</v>
      </c>
      <c r="R15" s="36" t="n">
        <v>3</v>
      </c>
      <c r="S15" s="37" t="s">
        <v>228</v>
      </c>
      <c r="T15" s="38" t="s">
        <v>229</v>
      </c>
    </row>
    <row r="16" customFormat="false" ht="35.05" hidden="false" customHeight="false" outlineLevel="0" collapsed="false">
      <c r="A16" s="7" t="s">
        <v>230</v>
      </c>
      <c r="B16" s="7" t="s">
        <v>231</v>
      </c>
      <c r="C16" s="7" t="s">
        <v>232</v>
      </c>
      <c r="D16" s="7" t="s">
        <v>233</v>
      </c>
      <c r="E16" s="32" t="n">
        <v>1635</v>
      </c>
      <c r="F16" s="7" t="s">
        <v>139</v>
      </c>
      <c r="G16" s="12" t="n">
        <v>237075</v>
      </c>
      <c r="H16" s="33" t="n">
        <f aca="false">IF(ISNUMBER(G16),G16/12,"n/a")</f>
        <v>19756.25</v>
      </c>
      <c r="I16" s="34" t="n">
        <f aca="false">IFERROR(IF(ISNUMBER(G16),G16/E16,"n/a"),"n/a")</f>
        <v>145</v>
      </c>
      <c r="J16" s="35" t="str">
        <f aca="false">IF(SUMPRODUCT(($A$42:$A$42=A16)*$B$42:$B$42)&gt;0,SUMPRODUCT(($A$42:$A$42=A16)*$B$42:$B$42)/E16,IF(AND(LEFT(F16,3)="NNN",ISNUMBER(I16)),"Not stated; master "&amp;TEXT('Executive Summary'!$B$8,"$0.00")&amp;" applied","Unknown"))</f>
        <v>Not stated; master $7.00 applied</v>
      </c>
      <c r="K16" s="35" t="n">
        <f aca="false">IF(AND(ISNUMBER(I16),LEFT(F16,3)="NNN"),I16+IF(ISNUMBER(J16),J16,'Executive Summary'!$B$8)+SUMPRODUCT(($A$37:$A$39=A16)*$B$37:$B$39)/$C$31/E16,"n/a")</f>
        <v>152</v>
      </c>
      <c r="L16" s="7" t="s">
        <v>148</v>
      </c>
      <c r="M16" s="7" t="s">
        <v>83</v>
      </c>
      <c r="N16" s="7" t="s">
        <v>234</v>
      </c>
      <c r="O16" s="7" t="s">
        <v>235</v>
      </c>
      <c r="P16" s="7" t="s">
        <v>236</v>
      </c>
      <c r="Q16" s="36" t="n">
        <v>1</v>
      </c>
      <c r="R16" s="36" t="n">
        <v>3</v>
      </c>
      <c r="S16" s="37" t="s">
        <v>237</v>
      </c>
      <c r="T16" s="38" t="s">
        <v>238</v>
      </c>
    </row>
    <row r="17" customFormat="false" ht="15" hidden="false" customHeight="false" outlineLevel="0" collapsed="false">
      <c r="A17" s="7" t="s">
        <v>239</v>
      </c>
      <c r="B17" s="7" t="s">
        <v>231</v>
      </c>
      <c r="C17" s="7" t="s">
        <v>232</v>
      </c>
      <c r="D17" s="7" t="s">
        <v>240</v>
      </c>
      <c r="E17" s="32" t="n">
        <v>1600</v>
      </c>
      <c r="F17" s="7" t="s">
        <v>139</v>
      </c>
      <c r="G17" s="12" t="n">
        <v>240000</v>
      </c>
      <c r="H17" s="33" t="n">
        <f aca="false">IF(ISNUMBER(G17),G17/12,"n/a")</f>
        <v>20000</v>
      </c>
      <c r="I17" s="34" t="n">
        <f aca="false">IFERROR(IF(ISNUMBER(G17),G17/E17,"n/a"),"n/a")</f>
        <v>150</v>
      </c>
      <c r="J17" s="35" t="str">
        <f aca="false">IF(SUMPRODUCT(($A$42:$A$42=A17)*$B$42:$B$42)&gt;0,SUMPRODUCT(($A$42:$A$42=A17)*$B$42:$B$42)/E17,IF(AND(LEFT(F17,3)="NNN",ISNUMBER(I17)),"Not stated; master "&amp;TEXT('Executive Summary'!$B$8,"$0.00")&amp;" applied","Unknown"))</f>
        <v>Not stated; master $7.00 applied</v>
      </c>
      <c r="K17" s="35" t="n">
        <f aca="false">IF(AND(ISNUMBER(I17),LEFT(F17,3)="NNN"),I17+IF(ISNUMBER(J17),J17,'Executive Summary'!$B$8)+SUMPRODUCT(($A$37:$A$39=A17)*$B$37:$B$39)/$C$31/E17,"n/a")</f>
        <v>157</v>
      </c>
      <c r="L17" s="7" t="s">
        <v>148</v>
      </c>
      <c r="M17" s="7" t="s">
        <v>83</v>
      </c>
      <c r="N17" s="7" t="s">
        <v>241</v>
      </c>
      <c r="O17" s="7" t="s">
        <v>242</v>
      </c>
      <c r="P17" s="7" t="s">
        <v>143</v>
      </c>
      <c r="Q17" s="36" t="n">
        <v>1</v>
      </c>
      <c r="R17" s="36" t="n">
        <v>3</v>
      </c>
      <c r="S17" s="37" t="s">
        <v>243</v>
      </c>
      <c r="T17" s="38" t="s">
        <v>244</v>
      </c>
    </row>
    <row r="18" customFormat="false" ht="35.05" hidden="false" customHeight="false" outlineLevel="0" collapsed="false">
      <c r="A18" s="7" t="s">
        <v>245</v>
      </c>
      <c r="B18" s="7" t="s">
        <v>246</v>
      </c>
      <c r="C18" s="7" t="s">
        <v>232</v>
      </c>
      <c r="D18" s="7" t="s">
        <v>247</v>
      </c>
      <c r="E18" s="32" t="n">
        <v>778</v>
      </c>
      <c r="F18" s="7" t="s">
        <v>139</v>
      </c>
      <c r="G18" s="12" t="n">
        <v>120000</v>
      </c>
      <c r="H18" s="33" t="n">
        <f aca="false">IF(ISNUMBER(G18),G18/12,"n/a")</f>
        <v>10000</v>
      </c>
      <c r="I18" s="34" t="n">
        <f aca="false">IFERROR(IF(ISNUMBER(G18),G18/E18,"n/a"),"n/a")</f>
        <v>154.241645244216</v>
      </c>
      <c r="J18" s="35" t="str">
        <f aca="false">IF(SUMPRODUCT(($A$42:$A$42=A18)*$B$42:$B$42)&gt;0,SUMPRODUCT(($A$42:$A$42=A18)*$B$42:$B$42)/E18,IF(AND(LEFT(F18,3)="NNN",ISNUMBER(I18)),"Not stated; master "&amp;TEXT('Executive Summary'!$B$8,"$0.00")&amp;" applied","Unknown"))</f>
        <v>Not stated; master $7.00 applied</v>
      </c>
      <c r="K18" s="35" t="n">
        <f aca="false">IF(AND(ISNUMBER(I18),LEFT(F18,3)="NNN"),I18+IF(ISNUMBER(J18),J18,'Executive Summary'!$B$8)+SUMPRODUCT(($A$37:$A$39=A18)*$B$37:$B$39)/$C$31/E18,"n/a")</f>
        <v>161.241645244216</v>
      </c>
      <c r="L18" s="7" t="s">
        <v>148</v>
      </c>
      <c r="M18" s="7" t="s">
        <v>83</v>
      </c>
      <c r="N18" s="7" t="s">
        <v>248</v>
      </c>
      <c r="O18" s="7" t="s">
        <v>249</v>
      </c>
      <c r="P18" s="7" t="s">
        <v>143</v>
      </c>
      <c r="Q18" s="36" t="n">
        <v>1</v>
      </c>
      <c r="R18" s="36" t="n">
        <v>3</v>
      </c>
      <c r="S18" s="37" t="s">
        <v>250</v>
      </c>
      <c r="T18" s="38" t="s">
        <v>251</v>
      </c>
    </row>
    <row r="19" customFormat="false" ht="15" hidden="false" customHeight="false" outlineLevel="0" collapsed="false">
      <c r="A19" s="7" t="s">
        <v>252</v>
      </c>
      <c r="B19" s="7" t="s">
        <v>252</v>
      </c>
      <c r="C19" s="7" t="s">
        <v>253</v>
      </c>
      <c r="D19" s="7" t="s">
        <v>254</v>
      </c>
      <c r="E19" s="32" t="n">
        <v>3000</v>
      </c>
      <c r="F19" s="7" t="s">
        <v>139</v>
      </c>
      <c r="G19" s="12" t="n">
        <v>250000</v>
      </c>
      <c r="H19" s="33" t="n">
        <f aca="false">IF(ISNUMBER(G19),G19/12,"n/a")</f>
        <v>20833.3333333333</v>
      </c>
      <c r="I19" s="34" t="n">
        <f aca="false">IFERROR(IF(ISNUMBER(G19),G19/E19,"n/a"),"n/a")</f>
        <v>83.3333333333333</v>
      </c>
      <c r="J19" s="35" t="str">
        <f aca="false">IF(SUMPRODUCT(($A$42:$A$42=A19)*$B$42:$B$42)&gt;0,SUMPRODUCT(($A$42:$A$42=A19)*$B$42:$B$42)/E19,IF(AND(LEFT(F19,3)="NNN",ISNUMBER(I19)),"Not stated; master "&amp;TEXT('Executive Summary'!$B$8,"$0.00")&amp;" applied","Unknown"))</f>
        <v>Not stated; master $7.00 applied</v>
      </c>
      <c r="K19" s="35" t="n">
        <f aca="false">IF(AND(ISNUMBER(I19),LEFT(F19,3)="NNN"),I19+IF(ISNUMBER(J19),J19,'Executive Summary'!$B$8)+SUMPRODUCT(($A$37:$A$39=A19)*$B$37:$B$39)/$C$31/E19,"n/a")</f>
        <v>90.3333333333333</v>
      </c>
      <c r="L19" s="7" t="s">
        <v>148</v>
      </c>
      <c r="M19" s="7" t="s">
        <v>83</v>
      </c>
      <c r="N19" s="7" t="s">
        <v>255</v>
      </c>
      <c r="O19" s="7" t="s">
        <v>256</v>
      </c>
      <c r="P19" s="7" t="s">
        <v>143</v>
      </c>
      <c r="Q19" s="36" t="n">
        <v>2</v>
      </c>
      <c r="R19" s="36" t="n">
        <v>3</v>
      </c>
      <c r="S19" s="37" t="s">
        <v>257</v>
      </c>
      <c r="T19" s="38" t="s">
        <v>258</v>
      </c>
    </row>
    <row r="20" customFormat="false" ht="23.85" hidden="false" customHeight="false" outlineLevel="0" collapsed="false">
      <c r="A20" s="7" t="s">
        <v>259</v>
      </c>
      <c r="B20" s="7" t="s">
        <v>260</v>
      </c>
      <c r="C20" s="7" t="s">
        <v>261</v>
      </c>
      <c r="D20" s="7" t="s">
        <v>262</v>
      </c>
      <c r="E20" s="32" t="n">
        <v>2365</v>
      </c>
      <c r="F20" s="7" t="s">
        <v>139</v>
      </c>
      <c r="G20" s="12" t="n">
        <v>355000</v>
      </c>
      <c r="H20" s="33" t="n">
        <f aca="false">IF(ISNUMBER(G20),G20/12,"n/a")</f>
        <v>29583.3333333333</v>
      </c>
      <c r="I20" s="34" t="n">
        <f aca="false">IFERROR(IF(ISNUMBER(G20),G20/E20,"n/a"),"n/a")</f>
        <v>150.105708245243</v>
      </c>
      <c r="J20" s="35" t="str">
        <f aca="false">IF(SUMPRODUCT(($A$42:$A$42=A20)*$B$42:$B$42)&gt;0,SUMPRODUCT(($A$42:$A$42=A20)*$B$42:$B$42)/E20,IF(AND(LEFT(F20,3)="NNN",ISNUMBER(I20)),"Not stated; master "&amp;TEXT('Executive Summary'!$B$8,"$0.00")&amp;" applied","Unknown"))</f>
        <v>Not stated; master $7.00 applied</v>
      </c>
      <c r="K20" s="35" t="n">
        <f aca="false">IF(AND(ISNUMBER(I20),LEFT(F20,3)="NNN"),I20+IF(ISNUMBER(J20),J20,'Executive Summary'!$B$8)+SUMPRODUCT(($A$37:$A$39=A20)*$B$37:$B$39)/$C$31/E20,"n/a")</f>
        <v>157.105708245243</v>
      </c>
      <c r="L20" s="7" t="s">
        <v>148</v>
      </c>
      <c r="M20" s="7" t="s">
        <v>83</v>
      </c>
      <c r="N20" s="7" t="s">
        <v>263</v>
      </c>
      <c r="O20" s="7" t="s">
        <v>264</v>
      </c>
      <c r="P20" s="7" t="s">
        <v>143</v>
      </c>
      <c r="Q20" s="36" t="n">
        <v>2</v>
      </c>
      <c r="R20" s="36" t="n">
        <v>3</v>
      </c>
      <c r="S20" s="37" t="s">
        <v>265</v>
      </c>
      <c r="T20" s="38" t="s">
        <v>266</v>
      </c>
    </row>
    <row r="21" customFormat="false" ht="15" hidden="false" customHeight="false" outlineLevel="0" collapsed="false">
      <c r="A21" s="7" t="s">
        <v>267</v>
      </c>
      <c r="B21" s="7" t="s">
        <v>268</v>
      </c>
      <c r="C21" s="7" t="s">
        <v>269</v>
      </c>
      <c r="D21" s="7" t="s">
        <v>270</v>
      </c>
      <c r="E21" s="32" t="n">
        <v>900</v>
      </c>
      <c r="F21" s="7" t="s">
        <v>271</v>
      </c>
      <c r="G21" s="12" t="n">
        <v>168000</v>
      </c>
      <c r="H21" s="33" t="n">
        <f aca="false">IF(ISNUMBER(G21),G21/12,"n/a")</f>
        <v>14000</v>
      </c>
      <c r="I21" s="34" t="n">
        <f aca="false">IFERROR(IF(ISNUMBER(G21),G21/E21,"n/a"),"n/a")</f>
        <v>186.666666666667</v>
      </c>
      <c r="J21" s="35" t="str">
        <f aca="false">IF(SUMPRODUCT(($A$42:$A$42=A21)*$B$42:$B$42)&gt;0,SUMPRODUCT(($A$42:$A$42=A21)*$B$42:$B$42)/E21,IF(AND(LEFT(F21,3)="NNN",ISNUMBER(I21)),"Not stated; master "&amp;TEXT('Executive Summary'!$B$8,"$0.00")&amp;" applied","Unknown"))</f>
        <v>Not stated; master $7.00 applied</v>
      </c>
      <c r="K21" s="35" t="n">
        <f aca="false">IF(AND(ISNUMBER(I21),LEFT(F21,3)="NNN"),I21+IF(ISNUMBER(J21),J21,'Executive Summary'!$B$8)+SUMPRODUCT(($A$37:$A$39=A21)*$B$37:$B$39)/$C$31/E21,"n/a")</f>
        <v>193.666666666667</v>
      </c>
      <c r="L21" s="7" t="s">
        <v>148</v>
      </c>
      <c r="M21" s="7" t="s">
        <v>83</v>
      </c>
      <c r="N21" s="7" t="s">
        <v>272</v>
      </c>
      <c r="O21" s="7" t="s">
        <v>273</v>
      </c>
      <c r="P21" s="7" t="s">
        <v>143</v>
      </c>
      <c r="Q21" s="36" t="n">
        <v>1</v>
      </c>
      <c r="R21" s="36" t="n">
        <v>3</v>
      </c>
      <c r="S21" s="37" t="s">
        <v>274</v>
      </c>
      <c r="T21" s="38" t="s">
        <v>275</v>
      </c>
    </row>
    <row r="22" customFormat="false" ht="35.05" hidden="false" customHeight="false" outlineLevel="0" collapsed="false">
      <c r="A22" s="7" t="s">
        <v>276</v>
      </c>
      <c r="B22" s="7" t="s">
        <v>277</v>
      </c>
      <c r="C22" s="7" t="s">
        <v>278</v>
      </c>
      <c r="D22" s="7" t="s">
        <v>279</v>
      </c>
      <c r="E22" s="32" t="n">
        <v>4400</v>
      </c>
      <c r="F22" s="7" t="s">
        <v>139</v>
      </c>
      <c r="G22" s="12" t="n">
        <v>132000</v>
      </c>
      <c r="H22" s="33" t="n">
        <f aca="false">IF(ISNUMBER(G22),G22/12,"n/a")</f>
        <v>11000</v>
      </c>
      <c r="I22" s="34" t="n">
        <f aca="false">IFERROR(IF(ISNUMBER(G22),G22/E22,"n/a"),"n/a")</f>
        <v>30</v>
      </c>
      <c r="J22" s="35" t="str">
        <f aca="false">IF(SUMPRODUCT(($A$42:$A$42=A22)*$B$42:$B$42)&gt;0,SUMPRODUCT(($A$42:$A$42=A22)*$B$42:$B$42)/E22,IF(AND(LEFT(F22,3)="NNN",ISNUMBER(I22)),"Not stated; master "&amp;TEXT('Executive Summary'!$B$8,"$0.00")&amp;" applied","Unknown"))</f>
        <v>Not stated; master $7.00 applied</v>
      </c>
      <c r="K22" s="35" t="n">
        <f aca="false">IF(AND(ISNUMBER(I22),LEFT(F22,3)="NNN"),I22+IF(ISNUMBER(J22),J22,'Executive Summary'!$B$8)+SUMPRODUCT(($A$37:$A$39=A22)*$B$37:$B$39)/$C$31/E22,"n/a")</f>
        <v>44.9545454545455</v>
      </c>
      <c r="L22" s="7" t="s">
        <v>280</v>
      </c>
      <c r="M22" s="7" t="s">
        <v>83</v>
      </c>
      <c r="N22" s="7" t="s">
        <v>281</v>
      </c>
      <c r="O22" s="7" t="s">
        <v>282</v>
      </c>
      <c r="P22" s="7" t="s">
        <v>283</v>
      </c>
      <c r="Q22" s="36" t="n">
        <v>2</v>
      </c>
      <c r="R22" s="36" t="n">
        <v>3</v>
      </c>
      <c r="S22" s="37" t="s">
        <v>284</v>
      </c>
      <c r="T22" s="38" t="s">
        <v>285</v>
      </c>
    </row>
    <row r="23" customFormat="false" ht="15" hidden="false" customHeight="false" outlineLevel="0" collapsed="false">
      <c r="A23" s="7" t="s">
        <v>286</v>
      </c>
      <c r="B23" s="7" t="s">
        <v>286</v>
      </c>
      <c r="C23" s="7" t="s">
        <v>287</v>
      </c>
      <c r="D23" s="7" t="s">
        <v>288</v>
      </c>
      <c r="E23" s="32" t="n">
        <v>744</v>
      </c>
      <c r="F23" s="7" t="s">
        <v>139</v>
      </c>
      <c r="G23" s="12" t="n">
        <v>120000</v>
      </c>
      <c r="H23" s="33" t="n">
        <f aca="false">IF(ISNUMBER(G23),G23/12,"n/a")</f>
        <v>10000</v>
      </c>
      <c r="I23" s="34" t="n">
        <f aca="false">IFERROR(IF(ISNUMBER(G23),G23/E23,"n/a"),"n/a")</f>
        <v>161.290322580645</v>
      </c>
      <c r="J23" s="35" t="str">
        <f aca="false">IF(SUMPRODUCT(($A$42:$A$42=A23)*$B$42:$B$42)&gt;0,SUMPRODUCT(($A$42:$A$42=A23)*$B$42:$B$42)/E23,IF(AND(LEFT(F23,3)="NNN",ISNUMBER(I23)),"Not stated; master "&amp;TEXT('Executive Summary'!$B$8,"$0.00")&amp;" applied","Unknown"))</f>
        <v>Not stated; master $7.00 applied</v>
      </c>
      <c r="K23" s="35" t="n">
        <f aca="false">IF(AND(ISNUMBER(I23),LEFT(F23,3)="NNN"),I23+IF(ISNUMBER(J23),J23,'Executive Summary'!$B$8)+SUMPRODUCT(($A$37:$A$39=A23)*$B$37:$B$39)/$C$31/E23,"n/a")</f>
        <v>168.290322580645</v>
      </c>
      <c r="L23" s="7" t="s">
        <v>167</v>
      </c>
      <c r="M23" s="7" t="s">
        <v>83</v>
      </c>
      <c r="N23" s="7" t="s">
        <v>289</v>
      </c>
      <c r="O23" s="7" t="s">
        <v>290</v>
      </c>
      <c r="P23" s="7" t="s">
        <v>143</v>
      </c>
      <c r="Q23" s="36" t="n">
        <v>1</v>
      </c>
      <c r="R23" s="36" t="n">
        <v>3</v>
      </c>
      <c r="S23" s="37" t="s">
        <v>291</v>
      </c>
      <c r="T23" s="38" t="s">
        <v>292</v>
      </c>
    </row>
    <row r="24" customFormat="false" ht="15" hidden="false" customHeight="false" outlineLevel="0" collapsed="false">
      <c r="A24" s="7" t="s">
        <v>293</v>
      </c>
      <c r="B24" s="7" t="s">
        <v>293</v>
      </c>
      <c r="C24" s="7" t="s">
        <v>287</v>
      </c>
      <c r="D24" s="7" t="s">
        <v>294</v>
      </c>
      <c r="E24" s="32" t="n">
        <v>400</v>
      </c>
      <c r="F24" s="7" t="s">
        <v>139</v>
      </c>
      <c r="G24" s="12" t="n">
        <v>96000</v>
      </c>
      <c r="H24" s="33" t="n">
        <f aca="false">IF(ISNUMBER(G24),G24/12,"n/a")</f>
        <v>8000</v>
      </c>
      <c r="I24" s="34" t="n">
        <f aca="false">IFERROR(IF(ISNUMBER(G24),G24/E24,"n/a"),"n/a")</f>
        <v>240</v>
      </c>
      <c r="J24" s="35" t="str">
        <f aca="false">IF(SUMPRODUCT(($A$42:$A$42=A24)*$B$42:$B$42)&gt;0,SUMPRODUCT(($A$42:$A$42=A24)*$B$42:$B$42)/E24,IF(AND(LEFT(F24,3)="NNN",ISNUMBER(I24)),"Not stated; master "&amp;TEXT('Executive Summary'!$B$8,"$0.00")&amp;" applied","Unknown"))</f>
        <v>Not stated; master $7.00 applied</v>
      </c>
      <c r="K24" s="35" t="n">
        <f aca="false">IF(AND(ISNUMBER(I24),LEFT(F24,3)="NNN"),I24+IF(ISNUMBER(J24),J24,'Executive Summary'!$B$8)+SUMPRODUCT(($A$37:$A$39=A24)*$B$37:$B$39)/$C$31/E24,"n/a")</f>
        <v>247</v>
      </c>
      <c r="L24" s="7" t="s">
        <v>295</v>
      </c>
      <c r="M24" s="7" t="s">
        <v>83</v>
      </c>
      <c r="N24" s="7" t="s">
        <v>296</v>
      </c>
      <c r="O24" s="7" t="s">
        <v>297</v>
      </c>
      <c r="P24" s="7" t="s">
        <v>143</v>
      </c>
      <c r="Q24" s="36" t="n">
        <v>1</v>
      </c>
      <c r="R24" s="36" t="n">
        <v>3</v>
      </c>
      <c r="S24" s="37" t="s">
        <v>298</v>
      </c>
      <c r="T24" s="38" t="s">
        <v>299</v>
      </c>
    </row>
    <row r="25" customFormat="false" ht="23.85" hidden="false" customHeight="false" outlineLevel="0" collapsed="false">
      <c r="A25" s="7" t="s">
        <v>300</v>
      </c>
      <c r="B25" s="7" t="s">
        <v>301</v>
      </c>
      <c r="C25" s="7" t="s">
        <v>261</v>
      </c>
      <c r="D25" s="7" t="s">
        <v>302</v>
      </c>
      <c r="E25" s="32" t="n">
        <v>925</v>
      </c>
      <c r="F25" s="7" t="s">
        <v>139</v>
      </c>
      <c r="G25" s="12" t="n">
        <v>66000</v>
      </c>
      <c r="H25" s="33" t="n">
        <f aca="false">IF(ISNUMBER(G25),G25/12,"n/a")</f>
        <v>5500</v>
      </c>
      <c r="I25" s="34" t="n">
        <f aca="false">IFERROR(IF(ISNUMBER(G25),G25/E25,"n/a"),"n/a")</f>
        <v>71.3513513513514</v>
      </c>
      <c r="J25" s="35" t="str">
        <f aca="false">IF(SUMPRODUCT(($A$42:$A$42=A25)*$B$42:$B$42)&gt;0,SUMPRODUCT(($A$42:$A$42=A25)*$B$42:$B$42)/E25,IF(AND(LEFT(F25,3)="NNN",ISNUMBER(I25)),"Not stated; master "&amp;TEXT('Executive Summary'!$B$8,"$0.00")&amp;" applied","Unknown"))</f>
        <v>Not stated; master $7.00 applied</v>
      </c>
      <c r="K25" s="35" t="n">
        <f aca="false">IF(AND(ISNUMBER(I25),LEFT(F25,3)="NNN"),I25+IF(ISNUMBER(J25),J25,'Executive Summary'!$B$8)+SUMPRODUCT(($A$37:$A$39=A25)*$B$37:$B$39)/$C$31/E25,"n/a")</f>
        <v>78.3513513513514</v>
      </c>
      <c r="L25" s="7" t="s">
        <v>148</v>
      </c>
      <c r="M25" s="7" t="s">
        <v>83</v>
      </c>
      <c r="N25" s="7" t="s">
        <v>303</v>
      </c>
      <c r="O25" s="7" t="s">
        <v>304</v>
      </c>
      <c r="P25" s="7" t="s">
        <v>305</v>
      </c>
      <c r="Q25" s="36" t="n">
        <v>2</v>
      </c>
      <c r="R25" s="36" t="n">
        <v>3</v>
      </c>
      <c r="S25" s="37" t="s">
        <v>306</v>
      </c>
      <c r="T25" s="38" t="s">
        <v>307</v>
      </c>
    </row>
    <row r="26" customFormat="false" ht="15" hidden="false" customHeight="false" outlineLevel="0" collapsed="false">
      <c r="A26" s="7" t="s">
        <v>308</v>
      </c>
      <c r="B26" s="7" t="s">
        <v>309</v>
      </c>
      <c r="C26" s="7" t="s">
        <v>261</v>
      </c>
      <c r="D26" s="7" t="s">
        <v>310</v>
      </c>
      <c r="E26" s="32" t="n">
        <v>3100</v>
      </c>
      <c r="F26" s="7" t="s">
        <v>139</v>
      </c>
      <c r="G26" s="12" t="n">
        <v>240000</v>
      </c>
      <c r="H26" s="33" t="n">
        <f aca="false">IF(ISNUMBER(G26),G26/12,"n/a")</f>
        <v>20000</v>
      </c>
      <c r="I26" s="34" t="n">
        <f aca="false">IFERROR(IF(ISNUMBER(G26),G26/E26,"n/a"),"n/a")</f>
        <v>77.4193548387097</v>
      </c>
      <c r="J26" s="35" t="str">
        <f aca="false">IF(SUMPRODUCT(($A$42:$A$42=A26)*$B$42:$B$42)&gt;0,SUMPRODUCT(($A$42:$A$42=A26)*$B$42:$B$42)/E26,IF(AND(LEFT(F26,3)="NNN",ISNUMBER(I26)),"Not stated; master "&amp;TEXT('Executive Summary'!$B$8,"$0.00")&amp;" applied","Unknown"))</f>
        <v>Not stated; master $7.00 applied</v>
      </c>
      <c r="K26" s="35" t="n">
        <f aca="false">IF(AND(ISNUMBER(I26),LEFT(F26,3)="NNN"),I26+IF(ISNUMBER(J26),J26,'Executive Summary'!$B$8)+SUMPRODUCT(($A$37:$A$39=A26)*$B$37:$B$39)/$C$31/E26,"n/a")</f>
        <v>84.4193548387097</v>
      </c>
      <c r="L26" s="7" t="s">
        <v>148</v>
      </c>
      <c r="M26" s="7" t="s">
        <v>83</v>
      </c>
      <c r="N26" s="7" t="s">
        <v>311</v>
      </c>
      <c r="O26" s="7" t="s">
        <v>312</v>
      </c>
      <c r="P26" s="7" t="s">
        <v>143</v>
      </c>
      <c r="Q26" s="36" t="n">
        <v>2</v>
      </c>
      <c r="R26" s="36" t="n">
        <v>3</v>
      </c>
      <c r="S26" s="37" t="s">
        <v>313</v>
      </c>
      <c r="T26" s="38" t="s">
        <v>314</v>
      </c>
    </row>
    <row r="27" customFormat="false" ht="23.85" hidden="false" customHeight="false" outlineLevel="0" collapsed="false">
      <c r="A27" s="7" t="s">
        <v>315</v>
      </c>
      <c r="B27" s="7" t="s">
        <v>316</v>
      </c>
      <c r="C27" s="7" t="s">
        <v>317</v>
      </c>
      <c r="D27" s="7" t="s">
        <v>318</v>
      </c>
      <c r="E27" s="32" t="n">
        <v>1700</v>
      </c>
      <c r="F27" s="7" t="s">
        <v>188</v>
      </c>
      <c r="G27" s="12" t="n">
        <v>78000</v>
      </c>
      <c r="H27" s="33" t="n">
        <f aca="false">IF(ISNUMBER(G27),G27/12,"n/a")</f>
        <v>6500</v>
      </c>
      <c r="I27" s="34" t="n">
        <f aca="false">IFERROR(IF(ISNUMBER(G27),G27/E27,"n/a"),"n/a")</f>
        <v>45.8823529411765</v>
      </c>
      <c r="J27" s="35" t="str">
        <f aca="false">IF(SUMPRODUCT(($A$42:$A$42=A27)*$B$42:$B$42)&gt;0,SUMPRODUCT(($A$42:$A$42=A27)*$B$42:$B$42)/E27,IF(AND(LEFT(F27,3)="NNN",ISNUMBER(I27)),"Not stated; master "&amp;TEXT('Executive Summary'!$B$8,"$0.00")&amp;" applied","Unknown"))</f>
        <v>Unknown</v>
      </c>
      <c r="K27" s="35" t="str">
        <f aca="false">IF(AND(ISNUMBER(I27),LEFT(F27,3)="NNN"),I27+IF(ISNUMBER(J27),J27,'Executive Summary'!$B$8)+SUMPRODUCT(($A$37:$A$39=A27)*$B$37:$B$39)/$C$31/E27,"n/a")</f>
        <v>n/a</v>
      </c>
      <c r="L27" s="7" t="s">
        <v>148</v>
      </c>
      <c r="M27" s="7" t="s">
        <v>148</v>
      </c>
      <c r="N27" s="7" t="s">
        <v>319</v>
      </c>
      <c r="O27" s="7" t="s">
        <v>320</v>
      </c>
      <c r="P27" s="7" t="s">
        <v>143</v>
      </c>
      <c r="Q27" s="36" t="n">
        <v>2</v>
      </c>
      <c r="R27" s="36" t="n">
        <v>3</v>
      </c>
      <c r="S27" s="37" t="s">
        <v>321</v>
      </c>
      <c r="T27" s="38" t="s">
        <v>322</v>
      </c>
    </row>
    <row r="30" customFormat="false" ht="15" hidden="false" customHeight="false" outlineLevel="0" collapsed="false">
      <c r="A30" s="3" t="s">
        <v>323</v>
      </c>
      <c r="B30" s="3"/>
      <c r="C30" s="3"/>
      <c r="D30" s="3"/>
      <c r="E30" s="3"/>
      <c r="F30" s="3"/>
      <c r="G30" s="3"/>
      <c r="H30" s="3"/>
    </row>
    <row r="31" customFormat="false" ht="15" hidden="false" customHeight="false" outlineLevel="0" collapsed="false">
      <c r="A31" s="40" t="s">
        <v>324</v>
      </c>
      <c r="C31" s="41" t="n">
        <v>10</v>
      </c>
      <c r="D31" s="2" t="s">
        <v>325</v>
      </c>
    </row>
    <row r="32" customFormat="false" ht="15" hidden="false" customHeight="false" outlineLevel="0" collapsed="false">
      <c r="A32" s="40" t="s">
        <v>326</v>
      </c>
      <c r="C32" s="42" t="n">
        <v>0.67</v>
      </c>
      <c r="D32" s="2" t="s">
        <v>327</v>
      </c>
    </row>
    <row r="33" customFormat="false" ht="15" hidden="false" customHeight="false" outlineLevel="0" collapsed="false">
      <c r="A33" s="40" t="s">
        <v>328</v>
      </c>
      <c r="C33" s="42" t="n">
        <v>0.75</v>
      </c>
    </row>
    <row r="34" customFormat="false" ht="15" hidden="false" customHeight="false" outlineLevel="0" collapsed="false">
      <c r="A34" s="40" t="s">
        <v>329</v>
      </c>
      <c r="C34" s="43" t="n">
        <f aca="false">AVERAGE(C32:C33)</f>
        <v>0.71</v>
      </c>
      <c r="D34" s="2" t="s">
        <v>330</v>
      </c>
    </row>
    <row r="36" customFormat="false" ht="15" hidden="false" customHeight="false" outlineLevel="0" collapsed="false">
      <c r="A36" s="4" t="s">
        <v>331</v>
      </c>
      <c r="B36" s="4" t="s">
        <v>332</v>
      </c>
      <c r="C36" s="4" t="s">
        <v>129</v>
      </c>
      <c r="D36" s="4" t="s">
        <v>333</v>
      </c>
      <c r="E36" s="4" t="s">
        <v>66</v>
      </c>
    </row>
    <row r="37" customFormat="false" ht="15" hidden="false" customHeight="false" outlineLevel="0" collapsed="false">
      <c r="A37" s="7" t="str">
        <f aca="false">A5</f>
        <v>Former Coche Comedor (annual option)</v>
      </c>
      <c r="B37" s="12" t="n">
        <v>700000</v>
      </c>
      <c r="C37" s="7" t="s">
        <v>334</v>
      </c>
      <c r="D37" s="13" t="n">
        <f aca="false">B37/$C$31/E5</f>
        <v>24.7349823321555</v>
      </c>
      <c r="E37" s="7" t="s">
        <v>335</v>
      </c>
    </row>
    <row r="38" customFormat="false" ht="15" hidden="false" customHeight="false" outlineLevel="0" collapsed="false">
      <c r="A38" s="7" t="str">
        <f aca="false">A15</f>
        <v>17 S Edison St restaurant</v>
      </c>
      <c r="B38" s="12" t="n">
        <v>250000</v>
      </c>
      <c r="C38" s="7" t="s">
        <v>227</v>
      </c>
      <c r="D38" s="13" t="n">
        <f aca="false">B38/$C$31/E15</f>
        <v>9.16086478563577</v>
      </c>
      <c r="E38" s="7" t="s">
        <v>336</v>
      </c>
    </row>
    <row r="39" customFormat="false" ht="15" hidden="false" customHeight="false" outlineLevel="0" collapsed="false">
      <c r="A39" s="7" t="str">
        <f aca="false">A22</f>
        <v>62 Montauk Hwy (ex-Buoy One)</v>
      </c>
      <c r="B39" s="12" t="n">
        <v>350000</v>
      </c>
      <c r="C39" s="7" t="s">
        <v>282</v>
      </c>
      <c r="D39" s="13" t="n">
        <f aca="false">B39/$C$31/E22</f>
        <v>7.95454545454545</v>
      </c>
      <c r="E39" s="7" t="s">
        <v>337</v>
      </c>
    </row>
    <row r="41" customFormat="false" ht="15" hidden="false" customHeight="false" outlineLevel="0" collapsed="false">
      <c r="A41" s="4" t="s">
        <v>338</v>
      </c>
      <c r="B41" s="4" t="s">
        <v>339</v>
      </c>
      <c r="C41" s="4" t="s">
        <v>129</v>
      </c>
      <c r="D41" s="4" t="s">
        <v>340</v>
      </c>
      <c r="E41" s="4" t="s">
        <v>66</v>
      </c>
    </row>
    <row r="42" customFormat="false" ht="15" hidden="false" customHeight="false" outlineLevel="0" collapsed="false">
      <c r="A42" s="7" t="str">
        <f aca="false">A12</f>
        <v>2095 Montauk Hwy restaurant</v>
      </c>
      <c r="B42" s="12" t="n">
        <v>40000</v>
      </c>
      <c r="C42" s="7" t="s">
        <v>341</v>
      </c>
      <c r="D42" s="13" t="n">
        <f aca="false">B42/E12</f>
        <v>8.93655049151028</v>
      </c>
      <c r="E42" s="7" t="s">
        <v>342</v>
      </c>
    </row>
    <row r="44" customFormat="false" ht="35.05" hidden="false" customHeight="false" outlineLevel="0" collapsed="false">
      <c r="A44" s="4" t="s">
        <v>343</v>
      </c>
      <c r="B44" s="4" t="s">
        <v>344</v>
      </c>
      <c r="C44" s="4" t="s">
        <v>215</v>
      </c>
      <c r="D44" s="4" t="s">
        <v>345</v>
      </c>
      <c r="E44" s="4" t="s">
        <v>346</v>
      </c>
      <c r="F44" s="4" t="s">
        <v>347</v>
      </c>
      <c r="G44" s="4" t="s">
        <v>348</v>
      </c>
      <c r="H44" s="4" t="s">
        <v>349</v>
      </c>
      <c r="I44" s="4" t="s">
        <v>350</v>
      </c>
    </row>
    <row r="45" customFormat="false" ht="15" hidden="false" customHeight="false" outlineLevel="0" collapsed="false">
      <c r="A45" s="7" t="str">
        <f aca="false">A6</f>
        <v>Same space (seasonal option)</v>
      </c>
      <c r="B45" s="12" t="n">
        <v>175000</v>
      </c>
      <c r="C45" s="7" t="s">
        <v>351</v>
      </c>
      <c r="D45" s="32" t="n">
        <v>2830</v>
      </c>
      <c r="E45" s="32" t="n">
        <v>2830</v>
      </c>
      <c r="F45" s="13" t="n">
        <f aca="false">B45/E45</f>
        <v>61.8374558303887</v>
      </c>
      <c r="G45" s="13" t="n">
        <f aca="false">B45/D45</f>
        <v>61.8374558303887</v>
      </c>
      <c r="H45" s="13" t="n">
        <f aca="false">F45/$C$33</f>
        <v>82.4499411071849</v>
      </c>
      <c r="I45" s="13" t="n">
        <f aca="false">G45/$C$32</f>
        <v>92.29471019461</v>
      </c>
    </row>
    <row r="46" customFormat="false" ht="15" hidden="false" customHeight="false" outlineLevel="0" collapsed="false">
      <c r="A46" s="7" t="str">
        <f aca="false">A14</f>
        <v>249 Main St, Building B pop-up</v>
      </c>
      <c r="B46" s="12" t="n">
        <v>50000</v>
      </c>
      <c r="C46" s="7" t="s">
        <v>352</v>
      </c>
      <c r="D46" s="32" t="n">
        <v>1000</v>
      </c>
      <c r="E46" s="32" t="n">
        <v>2000</v>
      </c>
      <c r="F46" s="13" t="n">
        <f aca="false">B46/E46</f>
        <v>25</v>
      </c>
      <c r="G46" s="13" t="n">
        <f aca="false">B46/D46</f>
        <v>50</v>
      </c>
      <c r="H46" s="13" t="n">
        <f aca="false">F46/$C$33</f>
        <v>33.3333333333333</v>
      </c>
      <c r="I46" s="13" t="n">
        <f aca="false">G46/$C$32</f>
        <v>74.6268656716418</v>
      </c>
    </row>
    <row r="47" customFormat="false" ht="15" hidden="false" customHeight="false" outlineLevel="0" collapsed="false">
      <c r="A47" s="40" t="s">
        <v>353</v>
      </c>
      <c r="C47" s="44" t="n">
        <f aca="false">B45/G5</f>
        <v>0.729166666666667</v>
      </c>
      <c r="D47" s="2" t="s">
        <v>354</v>
      </c>
    </row>
    <row r="50" customFormat="false" ht="15" hidden="false" customHeight="false" outlineLevel="0" collapsed="false">
      <c r="A50" s="3" t="s">
        <v>355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customFormat="false" ht="40.5" hidden="false" customHeight="true" outlineLevel="0" collapsed="false">
      <c r="A51" s="8" t="s">
        <v>356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</row>
    <row r="52" customFormat="false" ht="54" hidden="false" customHeight="true" outlineLevel="0" collapsed="false">
      <c r="A52" s="8" t="s">
        <v>357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</row>
    <row r="53" customFormat="false" ht="40.5" hidden="false" customHeight="true" outlineLevel="0" collapsed="false">
      <c r="A53" s="8" t="s">
        <v>358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</row>
    <row r="54" customFormat="false" ht="27" hidden="false" customHeight="true" outlineLevel="0" collapsed="false">
      <c r="A54" s="8" t="s">
        <v>359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</sheetData>
  <mergeCells count="4">
    <mergeCell ref="A51:L51"/>
    <mergeCell ref="A52:L52"/>
    <mergeCell ref="A53:L53"/>
    <mergeCell ref="A54:L54"/>
  </mergeCells>
  <hyperlinks>
    <hyperlink ref="T5" r:id="rId1" display="https://hamptonscommercialre.com/properties/iconic-amagansett-restaurant-turn-key-opportunity/ | https://www.compass.com/homedetails/74-A-Montauk-Hwy-Amagansett-NY-11930/2070541251466245481_lid/ | https://www.hamptonsrealestate.com/eng/hampton-rentals/detail/524-l-526-930465/74a-montauk-highway-amagansett-ny-11930 | https://www.cityfeet.com/cont/listing/74a-montauk-hwy-amagansett-ny-11930/cs39907135 | https://www.crexi.com/lease/properties/1155311/new-york-74a-montauk-highway---iconic-amagansett-restaurant"/>
    <hyperlink ref="T6" r:id="rId2" display="https://hamptonscommercialre.com/properties/iconic-amagansett-restaurant-turn-key-opportunity/ | https://www.cityfeet.com/cont/listing/74a-montauk-hwy-amagansett-ny-11930/cs39907135"/>
    <hyperlink ref="T7" r:id="rId3" display="https://hamptonscommercialre.com/properties/first-floor-commercial-space/ | https://hamptonscommercialre.com/properties/premier-amagansett-commercial-assemblage-136-main-street-11-indian-wells-hwy-amagansett/ | https://www.crexi.com/lease/properties/718872/new-york-11-indian-wells-hwy"/>
    <hyperlink ref="T8" r:id="rId4" display="https://hamptonscommercialre.com/properties/ground-level-commercial-offering/ | https://hamptonscommercialre.com/properties/premier-amagansett-commercial-assemblage-136-main-street-11-indian-wells-hwy-amagansett/"/>
    <hyperlink ref="T9" r:id="rId5" display="https://hamptonscommercialre.com/properties/second-floor-amagansett-commercial-flex-space-iconic-building/"/>
    <hyperlink ref="T10" r:id="rId6" display="https://www.loopnet.com/Listing/136-Main-St-Amagansett-NY/32986784/ | https://hamptonscommercialre.com/properties/retail-end-cap-prime-visibility/ | https://www.compass.com/agents/the-hamptons-commercial-real-estate-team/"/>
    <hyperlink ref="T11" r:id="rId7" display="https://www.compass.com/listing/136-main-street-amagansett-ny-11930/1819738165409919177/"/>
    <hyperlink ref="T12" r:id="rId8" display="https://www.compass.com/homedetails/2095-Montauk-Hwy-Amagansett-NY-11930/1826297907410452777_lid/ | https://www.compass.com/agents/the-hamptons-commercial-real-estate-team/ | https://behindthehedges.com/fall-2024-food-market-commercial-real-estate"/>
    <hyperlink ref="T13" r:id="rId9" display="https://www.tenantbase.com/us/building/196079 | https://behindthehedges.com/amagansett-commercial-property-lists-8-million | https://www.cityfeet.com/cont/listing/519-521-montauk-hwy-amagansett-ny-11930/cs39871633"/>
    <hyperlink ref="T14" r:id="rId10" display="https://www.corcoran.com/listing/for-rent/249-main-street-amagansett-ny-11930/5981523/regionId/3"/>
    <hyperlink ref="T15" r:id="rId11" display="https://hamptonscommercialre.com/properties/17-s-edison-st-montauk-restaurant/"/>
    <hyperlink ref="T16" r:id="rId12" display="https://traded.co/deals/new-york/retail/lease/53-the-circle-1/"/>
    <hyperlink ref="T17" r:id="rId13" display="https://hamptonscommercialre.com/properties/retail-storefront-in-the-core-shopping-district-of-east-hampton-village/ | https://hamptonscommercialre.com/properties/prime-east-hampton-village-retail/"/>
    <hyperlink ref="T18" r:id="rId14" display="https://hamptonscommercialre.com/properties/east-hampton-village-retail-two-boutique-units-available-for-lease/"/>
    <hyperlink ref="T19" r:id="rId15" display="https://hamptonscommercialre.com/properties/one-of-a-kind-retail-outlet-with-character-in-east-hampton/"/>
    <hyperlink ref="T20" r:id="rId16" display="https://hamptonscommercialre.com/properties/70-main-street-floor-1-southampton-retail-for-lease/"/>
    <hyperlink ref="T21" r:id="rId17" display="https://hamptonscommercialre.com/properties/a-rare-commercial-opportunity-at-the-crossroads-of-the-hamptons-most-prestigious-corridor/ | https://www.cityfeet.com/cont/listing/81-montauk-hwy-wainscott-ny-11975/cs41480188"/>
    <hyperlink ref="T22" r:id="rId18" display="https://www.bizquest.com/real-estate-for-lease/premier-westhampton-restaurant-opportunity/BW2453378"/>
    <hyperlink ref="T23" r:id="rId19" display="https://hamptonscommercialre.com/properties/high-visibility-boutique-space/"/>
    <hyperlink ref="T24" r:id="rId20" display="https://hamptonscommercialre.com/properties/sag-harbor-main-street-retail/"/>
    <hyperlink ref="T25" r:id="rId21" display="https://hamptonscommercialre.com/properties/inline-retail-store-in-southamptons-cultural-hub/ | https://hamptonscommercialre.com/properties/1-windmill-lane-7-hill-st-southampton/"/>
    <hyperlink ref="T26" r:id="rId22" display="https://hamptonscommercialre.com/properties/southampton-village-grocery-opportunity-at-15-hill-street-unit-b-southampton-ny/"/>
    <hyperlink ref="T27" r:id="rId23" display="https://behindthehedges.com/bar-restaurant-available-lease-highly-visible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30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22"/>
    <col collapsed="false" customWidth="true" hidden="false" outlineLevel="0" max="11" min="11" style="0" width="14"/>
    <col collapsed="false" customWidth="true" hidden="false" outlineLevel="0" max="12" min="12" style="0" width="24"/>
    <col collapsed="false" customWidth="true" hidden="false" outlineLevel="0" max="13" min="13" style="0" width="22"/>
    <col collapsed="false" customWidth="true" hidden="false" outlineLevel="0" max="14" min="14" style="0" width="26"/>
    <col collapsed="false" customWidth="true" hidden="false" outlineLevel="0" max="15" min="15" style="0" width="16"/>
    <col collapsed="false" customWidth="true" hidden="false" outlineLevel="0" max="16" min="16" style="0" width="22"/>
    <col collapsed="false" customWidth="true" hidden="false" outlineLevel="0" max="17" min="17" style="0" width="14"/>
    <col collapsed="false" customWidth="true" hidden="false" outlineLevel="0" max="18" min="18" style="0" width="8"/>
    <col collapsed="false" customWidth="true" hidden="false" outlineLevel="0" max="19" min="19" style="0" width="70"/>
    <col collapsed="false" customWidth="true" hidden="false" outlineLevel="0" max="20" min="20" style="0" width="60"/>
  </cols>
  <sheetData>
    <row r="1" customFormat="false" ht="17.35" hidden="false" customHeight="false" outlineLevel="0" collapsed="false">
      <c r="A1" s="1" t="s">
        <v>360</v>
      </c>
    </row>
    <row r="2" customFormat="false" ht="21.75" hidden="false" customHeight="true" outlineLevel="0" collapsed="false">
      <c r="A2" s="45" t="s">
        <v>361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</row>
    <row r="3" customFormat="false" ht="15" hidden="false" customHeight="false" outlineLevel="0" collapsed="false">
      <c r="A3" s="2" t="s">
        <v>362</v>
      </c>
    </row>
    <row r="4" customFormat="false" ht="23.85" hidden="false" customHeight="false" outlineLevel="0" collapsed="false">
      <c r="A4" s="4" t="s">
        <v>117</v>
      </c>
      <c r="B4" s="4" t="s">
        <v>18</v>
      </c>
      <c r="C4" s="4" t="s">
        <v>118</v>
      </c>
      <c r="D4" s="4" t="s">
        <v>119</v>
      </c>
      <c r="E4" s="4" t="s">
        <v>9</v>
      </c>
      <c r="F4" s="4" t="s">
        <v>120</v>
      </c>
      <c r="G4" s="4" t="s">
        <v>121</v>
      </c>
      <c r="H4" s="4" t="s">
        <v>122</v>
      </c>
      <c r="I4" s="4" t="s">
        <v>123</v>
      </c>
      <c r="J4" s="4" t="s">
        <v>124</v>
      </c>
      <c r="K4" s="4" t="s">
        <v>125</v>
      </c>
      <c r="L4" s="4" t="s">
        <v>126</v>
      </c>
      <c r="M4" s="4" t="s">
        <v>127</v>
      </c>
      <c r="N4" s="4" t="s">
        <v>128</v>
      </c>
      <c r="O4" s="4" t="s">
        <v>129</v>
      </c>
      <c r="P4" s="4" t="s">
        <v>130</v>
      </c>
      <c r="Q4" s="4" t="s">
        <v>131</v>
      </c>
      <c r="R4" s="4" t="s">
        <v>132</v>
      </c>
      <c r="S4" s="4" t="s">
        <v>133</v>
      </c>
      <c r="T4" s="4" t="s">
        <v>134</v>
      </c>
    </row>
    <row r="5" customFormat="false" ht="68.65" hidden="false" customHeight="false" outlineLevel="0" collapsed="false">
      <c r="A5" s="7" t="s">
        <v>363</v>
      </c>
      <c r="B5" s="7" t="s">
        <v>364</v>
      </c>
      <c r="C5" s="7" t="s">
        <v>137</v>
      </c>
      <c r="D5" s="7" t="s">
        <v>365</v>
      </c>
      <c r="E5" s="46" t="n">
        <f aca="false">'Executive Summary'!$B$6</f>
        <v>1100</v>
      </c>
      <c r="F5" s="7" t="s">
        <v>366</v>
      </c>
      <c r="G5" s="14" t="s">
        <v>367</v>
      </c>
      <c r="H5" s="33" t="str">
        <f aca="false">IF(ISNUMBER(G5),G5/12,"n/a")</f>
        <v>n/a</v>
      </c>
      <c r="I5" s="34" t="str">
        <f aca="false">IFERROR(IF(ISNUMBER(G5),G5/E5,"n/a"),"n/a")</f>
        <v>n/a</v>
      </c>
      <c r="J5" s="47" t="str">
        <f aca="false">IF(AND(LEFT(F5,3)="NNN",ISNUMBER(I5)),"Not stated; master "&amp;TEXT('Executive Summary'!$B$8,"$0.00")&amp;" applied","Unknown")</f>
        <v>Unknown</v>
      </c>
      <c r="K5" s="35" t="str">
        <f aca="false">IF(AND(ISNUMBER(I5),LEFT(F5,3)="NNN"),I5+'Executive Summary'!$B$8,"n/a")</f>
        <v>n/a</v>
      </c>
      <c r="L5" s="7" t="s">
        <v>368</v>
      </c>
      <c r="M5" s="7" t="s">
        <v>369</v>
      </c>
      <c r="N5" s="7" t="s">
        <v>370</v>
      </c>
      <c r="O5" s="7" t="s">
        <v>371</v>
      </c>
      <c r="P5" s="7" t="s">
        <v>372</v>
      </c>
      <c r="Q5" s="48" t="s">
        <v>373</v>
      </c>
      <c r="R5" s="36" t="n">
        <v>1</v>
      </c>
      <c r="S5" s="37" t="s">
        <v>374</v>
      </c>
      <c r="T5" s="38" t="s">
        <v>375</v>
      </c>
    </row>
    <row r="6" customFormat="false" ht="23.85" hidden="false" customHeight="false" outlineLevel="0" collapsed="false">
      <c r="A6" s="7" t="s">
        <v>376</v>
      </c>
      <c r="B6" s="7" t="s">
        <v>377</v>
      </c>
      <c r="C6" s="7" t="s">
        <v>137</v>
      </c>
      <c r="D6" s="7" t="s">
        <v>378</v>
      </c>
      <c r="E6" s="32" t="n">
        <v>2900</v>
      </c>
      <c r="F6" s="7" t="s">
        <v>379</v>
      </c>
      <c r="G6" s="14" t="s">
        <v>380</v>
      </c>
      <c r="H6" s="33" t="str">
        <f aca="false">IF(ISNUMBER(G6),G6/12,"n/a")</f>
        <v>n/a</v>
      </c>
      <c r="I6" s="34" t="str">
        <f aca="false">IFERROR(IF(ISNUMBER(G6),G6/E6,"n/a"),"n/a")</f>
        <v>n/a</v>
      </c>
      <c r="J6" s="47" t="str">
        <f aca="false">IF(AND(LEFT(F6,3)="NNN",ISNUMBER(I6)),"Not stated; master "&amp;TEXT('Executive Summary'!$B$8,"$0.00")&amp;" applied","Unknown")</f>
        <v>Unknown</v>
      </c>
      <c r="K6" s="35" t="str">
        <f aca="false">IF(AND(ISNUMBER(I6),LEFT(F6,3)="NNN"),I6+'Executive Summary'!$B$8,"n/a")</f>
        <v>n/a</v>
      </c>
      <c r="L6" s="7" t="s">
        <v>381</v>
      </c>
      <c r="M6" s="7" t="s">
        <v>83</v>
      </c>
      <c r="N6" s="7" t="s">
        <v>382</v>
      </c>
      <c r="O6" s="7" t="s">
        <v>383</v>
      </c>
      <c r="P6" s="7" t="s">
        <v>218</v>
      </c>
      <c r="Q6" s="48" t="s">
        <v>384</v>
      </c>
      <c r="R6" s="36" t="n">
        <v>1</v>
      </c>
      <c r="S6" s="37" t="s">
        <v>385</v>
      </c>
      <c r="T6" s="38" t="s">
        <v>386</v>
      </c>
    </row>
    <row r="7" customFormat="false" ht="46.25" hidden="false" customHeight="false" outlineLevel="0" collapsed="false">
      <c r="A7" s="7" t="s">
        <v>387</v>
      </c>
      <c r="B7" s="7" t="s">
        <v>388</v>
      </c>
      <c r="C7" s="7" t="s">
        <v>137</v>
      </c>
      <c r="D7" s="7" t="s">
        <v>389</v>
      </c>
      <c r="E7" s="49" t="s">
        <v>148</v>
      </c>
      <c r="F7" s="7" t="s">
        <v>148</v>
      </c>
      <c r="G7" s="14" t="s">
        <v>390</v>
      </c>
      <c r="H7" s="33" t="str">
        <f aca="false">IF(ISNUMBER(G7),G7/12,"n/a")</f>
        <v>n/a</v>
      </c>
      <c r="I7" s="34" t="str">
        <f aca="false">IFERROR(IF(ISNUMBER(G7),G7/E7,"n/a"),"n/a")</f>
        <v>n/a</v>
      </c>
      <c r="J7" s="47" t="str">
        <f aca="false">IF(AND(LEFT(F7,3)="NNN",ISNUMBER(I7)),"Not stated; master "&amp;TEXT('Executive Summary'!$B$8,"$0.00")&amp;" applied","Unknown")</f>
        <v>Unknown</v>
      </c>
      <c r="K7" s="35" t="str">
        <f aca="false">IF(AND(ISNUMBER(I7),LEFT(F7,3)="NNN"),I7+'Executive Summary'!$B$8,"n/a")</f>
        <v>n/a</v>
      </c>
      <c r="L7" s="7" t="s">
        <v>391</v>
      </c>
      <c r="M7" s="7" t="s">
        <v>148</v>
      </c>
      <c r="N7" s="7" t="s">
        <v>392</v>
      </c>
      <c r="O7" s="7" t="s">
        <v>393</v>
      </c>
      <c r="P7" s="7" t="s">
        <v>218</v>
      </c>
      <c r="Q7" s="48" t="s">
        <v>394</v>
      </c>
      <c r="R7" s="36" t="n">
        <v>1</v>
      </c>
      <c r="S7" s="37" t="s">
        <v>395</v>
      </c>
      <c r="T7" s="38" t="s">
        <v>396</v>
      </c>
    </row>
    <row r="8" customFormat="false" ht="23.85" hidden="false" customHeight="false" outlineLevel="0" collapsed="false">
      <c r="A8" s="7" t="s">
        <v>397</v>
      </c>
      <c r="B8" s="7" t="s">
        <v>398</v>
      </c>
      <c r="C8" s="7" t="s">
        <v>232</v>
      </c>
      <c r="D8" s="7" t="s">
        <v>399</v>
      </c>
      <c r="E8" s="32" t="n">
        <v>1341</v>
      </c>
      <c r="F8" s="7" t="s">
        <v>225</v>
      </c>
      <c r="G8" s="12" t="n">
        <v>167625</v>
      </c>
      <c r="H8" s="33" t="n">
        <f aca="false">IF(ISNUMBER(G8),G8/12,"n/a")</f>
        <v>13968.75</v>
      </c>
      <c r="I8" s="34" t="n">
        <f aca="false">IFERROR(IF(ISNUMBER(G8),G8/E8,"n/a"),"n/a")</f>
        <v>125</v>
      </c>
      <c r="J8" s="47" t="str">
        <f aca="false">IF(AND(LEFT(F8,3)="NNN",ISNUMBER(I8)),"Not stated; master "&amp;TEXT('Executive Summary'!$B$8,"$0.00")&amp;" applied","Unknown")</f>
        <v>Unknown</v>
      </c>
      <c r="K8" s="35" t="str">
        <f aca="false">IF(AND(ISNUMBER(I8),LEFT(F8,3)="NNN"),I8+'Executive Summary'!$B$8,"n/a")</f>
        <v>n/a</v>
      </c>
      <c r="L8" s="7" t="s">
        <v>148</v>
      </c>
      <c r="M8" s="7" t="s">
        <v>83</v>
      </c>
      <c r="N8" s="7" t="s">
        <v>400</v>
      </c>
      <c r="O8" s="7" t="s">
        <v>401</v>
      </c>
      <c r="P8" s="7" t="s">
        <v>283</v>
      </c>
      <c r="Q8" s="48" t="s">
        <v>402</v>
      </c>
      <c r="R8" s="36" t="n">
        <v>3</v>
      </c>
      <c r="S8" s="37" t="s">
        <v>403</v>
      </c>
      <c r="T8" s="38" t="s">
        <v>404</v>
      </c>
    </row>
    <row r="9" customFormat="false" ht="15" hidden="false" customHeight="false" outlineLevel="0" collapsed="false">
      <c r="A9" s="7" t="s">
        <v>405</v>
      </c>
      <c r="B9" s="7" t="s">
        <v>231</v>
      </c>
      <c r="C9" s="7" t="s">
        <v>232</v>
      </c>
      <c r="D9" s="7" t="s">
        <v>406</v>
      </c>
      <c r="E9" s="32" t="n">
        <v>1645</v>
      </c>
      <c r="F9" s="7" t="s">
        <v>225</v>
      </c>
      <c r="G9" s="12" t="n">
        <v>120085</v>
      </c>
      <c r="H9" s="33" t="n">
        <f aca="false">IF(ISNUMBER(G9),G9/12,"n/a")</f>
        <v>10007.0833333333</v>
      </c>
      <c r="I9" s="34" t="n">
        <f aca="false">IFERROR(IF(ISNUMBER(G9),G9/E9,"n/a"),"n/a")</f>
        <v>73</v>
      </c>
      <c r="J9" s="47" t="str">
        <f aca="false">IF(AND(LEFT(F9,3)="NNN",ISNUMBER(I9)),"Not stated; master "&amp;TEXT('Executive Summary'!$B$8,"$0.00")&amp;" applied","Unknown")</f>
        <v>Unknown</v>
      </c>
      <c r="K9" s="35" t="str">
        <f aca="false">IF(AND(ISNUMBER(I9),LEFT(F9,3)="NNN"),I9+'Executive Summary'!$B$8,"n/a")</f>
        <v>n/a</v>
      </c>
      <c r="L9" s="7" t="s">
        <v>148</v>
      </c>
      <c r="M9" s="7" t="s">
        <v>83</v>
      </c>
      <c r="N9" s="7" t="s">
        <v>407</v>
      </c>
      <c r="O9" s="7" t="s">
        <v>408</v>
      </c>
      <c r="P9" s="7" t="s">
        <v>283</v>
      </c>
      <c r="Q9" s="48" t="s">
        <v>402</v>
      </c>
      <c r="R9" s="36" t="n">
        <v>3</v>
      </c>
      <c r="S9" s="37" t="s">
        <v>409</v>
      </c>
      <c r="T9" s="38" t="s">
        <v>410</v>
      </c>
    </row>
    <row r="10" customFormat="false" ht="35.05" hidden="false" customHeight="false" outlineLevel="0" collapsed="false">
      <c r="A10" s="7" t="s">
        <v>411</v>
      </c>
      <c r="B10" s="7" t="s">
        <v>377</v>
      </c>
      <c r="C10" s="7" t="s">
        <v>137</v>
      </c>
      <c r="D10" s="7" t="s">
        <v>412</v>
      </c>
      <c r="E10" s="32" t="n">
        <v>2900</v>
      </c>
      <c r="F10" s="7" t="s">
        <v>148</v>
      </c>
      <c r="G10" s="14" t="s">
        <v>413</v>
      </c>
      <c r="H10" s="33" t="str">
        <f aca="false">IF(ISNUMBER(G10),G10/12,"n/a")</f>
        <v>n/a</v>
      </c>
      <c r="I10" s="34" t="str">
        <f aca="false">IFERROR(IF(ISNUMBER(G10),G10/E10,"n/a"),"n/a")</f>
        <v>n/a</v>
      </c>
      <c r="J10" s="47" t="str">
        <f aca="false">IF(AND(LEFT(F10,3)="NNN",ISNUMBER(I10)),"Not stated; master "&amp;TEXT('Executive Summary'!$B$8,"$0.00")&amp;" applied","Unknown")</f>
        <v>Unknown</v>
      </c>
      <c r="K10" s="35" t="str">
        <f aca="false">IF(AND(ISNUMBER(I10),LEFT(F10,3)="NNN"),I10+'Executive Summary'!$B$8,"n/a")</f>
        <v>n/a</v>
      </c>
      <c r="L10" s="7" t="s">
        <v>148</v>
      </c>
      <c r="M10" s="7" t="s">
        <v>83</v>
      </c>
      <c r="N10" s="7" t="s">
        <v>414</v>
      </c>
      <c r="O10" s="7" t="s">
        <v>415</v>
      </c>
      <c r="P10" s="7" t="s">
        <v>416</v>
      </c>
      <c r="Q10" s="48" t="s">
        <v>384</v>
      </c>
      <c r="R10" s="36" t="n">
        <v>1</v>
      </c>
      <c r="S10" s="37" t="s">
        <v>417</v>
      </c>
      <c r="T10" s="38" t="s">
        <v>418</v>
      </c>
    </row>
    <row r="11" customFormat="false" ht="35.05" hidden="false" customHeight="false" outlineLevel="0" collapsed="false">
      <c r="A11" s="50" t="str">
        <f aca="false">'Comparable Properties'!A16</f>
        <v>53 The Circle (GreyVen)</v>
      </c>
      <c r="B11" s="50" t="str">
        <f aca="false">'Comparable Properties'!B16</f>
        <v>53 The Circle</v>
      </c>
      <c r="C11" s="50" t="str">
        <f aca="false">'Comparable Properties'!C16</f>
        <v>East Hampton Village</v>
      </c>
      <c r="D11" s="50" t="str">
        <f aca="false">'Comparable Properties'!D16</f>
        <v>Luxury retail</v>
      </c>
      <c r="E11" s="46" t="n">
        <f aca="false">'Comparable Properties'!E16</f>
        <v>1635</v>
      </c>
      <c r="F11" s="50" t="str">
        <f aca="false">'Comparable Properties'!F16</f>
        <v>NNN</v>
      </c>
      <c r="G11" s="51" t="n">
        <f aca="false">'Comparable Properties'!G16</f>
        <v>237075</v>
      </c>
      <c r="H11" s="51" t="n">
        <f aca="false">'Comparable Properties'!H16</f>
        <v>19756.25</v>
      </c>
      <c r="I11" s="16" t="n">
        <f aca="false">'Comparable Properties'!I16</f>
        <v>145</v>
      </c>
      <c r="J11" s="16" t="str">
        <f aca="false">'Comparable Properties'!J16</f>
        <v>Not stated; master $7.00 applied</v>
      </c>
      <c r="K11" s="16" t="n">
        <f aca="false">'Comparable Properties'!K16</f>
        <v>152</v>
      </c>
      <c r="L11" s="50" t="str">
        <f aca="false">'Comparable Properties'!L16</f>
        <v>Unknown</v>
      </c>
      <c r="M11" s="50" t="str">
        <f aca="false">'Comparable Properties'!M16</f>
        <v>Annual</v>
      </c>
      <c r="N11" s="50" t="str">
        <f aca="false">'Comparable Properties'!N16</f>
        <v>2024-05-09</v>
      </c>
      <c r="O11" s="50" t="str">
        <f aca="false">'Comparable Properties'!O16</f>
        <v>[53]</v>
      </c>
      <c r="P11" s="50" t="str">
        <f aca="false">'Comparable Properties'!P16</f>
        <v>D (internally corroborated)</v>
      </c>
      <c r="Q11" s="52" t="n">
        <f aca="false">'Comparable Properties'!Q16</f>
        <v>1</v>
      </c>
      <c r="R11" s="52" t="n">
        <f aca="false">'Comparable Properties'!R16</f>
        <v>3</v>
      </c>
      <c r="S11" s="37" t="s">
        <v>419</v>
      </c>
      <c r="T11" s="50" t="str">
        <f aca="false">'Comparable Properties'!T16</f>
        <v>https://traded.co/deals/new-york/retail/lease/53-the-circle-1/</v>
      </c>
    </row>
    <row r="12" customFormat="false" ht="35.05" hidden="false" customHeight="false" outlineLevel="0" collapsed="false">
      <c r="A12" s="50" t="str">
        <f aca="false">'Comparable Properties'!A12</f>
        <v>2095 Montauk Hwy restaurant</v>
      </c>
      <c r="B12" s="50" t="str">
        <f aca="false">'Comparable Properties'!B12</f>
        <v>2095 Montauk Hwy</v>
      </c>
      <c r="C12" s="50" t="str">
        <f aca="false">'Comparable Properties'!C12</f>
        <v>Amagansett 11930 (Napeague, ~6 mi east of core)</v>
      </c>
      <c r="D12" s="50" t="str">
        <f aca="false">'Comparable Properties'!D12</f>
        <v>Restaurant, white box, 123 seats, double hood, 3BR apartment</v>
      </c>
      <c r="E12" s="46" t="n">
        <f aca="false">'Comparable Properties'!E12</f>
        <v>4476</v>
      </c>
      <c r="F12" s="50" t="str">
        <f aca="false">'Comparable Properties'!F12</f>
        <v>NNN</v>
      </c>
      <c r="G12" s="51" t="n">
        <f aca="false">'Comparable Properties'!G12</f>
        <v>180000</v>
      </c>
      <c r="H12" s="51" t="n">
        <f aca="false">'Comparable Properties'!H12</f>
        <v>15000</v>
      </c>
      <c r="I12" s="16" t="n">
        <f aca="false">'Comparable Properties'!I12</f>
        <v>40.2144772117962</v>
      </c>
      <c r="J12" s="16" t="n">
        <f aca="false">'Comparable Properties'!J12</f>
        <v>8.93655049151028</v>
      </c>
      <c r="K12" s="16" t="n">
        <f aca="false">'Comparable Properties'!K12</f>
        <v>49.1510277033065</v>
      </c>
      <c r="L12" s="50" t="str">
        <f aca="false">'Comparable Properties'!L12</f>
        <v>Unknown</v>
      </c>
      <c r="M12" s="50" t="str">
        <f aca="false">'Comparable Properties'!M12</f>
        <v>Annual lease; highly seasonal stretch</v>
      </c>
      <c r="N12" s="50" t="str">
        <f aca="false">'Comparable Properties'!N12</f>
        <v>Closed 2025-06-08</v>
      </c>
      <c r="O12" s="50" t="str">
        <f aca="false">'Comparable Properties'!O12</f>
        <v>[42][40][43]</v>
      </c>
      <c r="P12" s="50" t="str">
        <f aca="false">'Comparable Properties'!P12</f>
        <v>B</v>
      </c>
      <c r="Q12" s="52" t="n">
        <f aca="false">'Comparable Properties'!Q12</f>
        <v>2</v>
      </c>
      <c r="R12" s="52" t="n">
        <f aca="false">'Comparable Properties'!R12</f>
        <v>2</v>
      </c>
      <c r="S12" s="37" t="s">
        <v>420</v>
      </c>
      <c r="T12" s="50" t="str">
        <f aca="false">'Comparable Properties'!T12</f>
        <v>https://www.compass.com/homedetails/2095-Montauk-Hwy-Amagansett-NY-11930/1826297907410452777_lid/ | https://www.compass.com/agents/the-hamptons-commercial-real-estate-team/ | https://behindthehedges.com/fall-2024-food-market-commercial-real-estate</v>
      </c>
    </row>
    <row r="13" customFormat="false" ht="23.85" hidden="false" customHeight="false" outlineLevel="0" collapsed="false">
      <c r="A13" s="7" t="s">
        <v>421</v>
      </c>
      <c r="B13" s="7" t="s">
        <v>179</v>
      </c>
      <c r="C13" s="7" t="s">
        <v>137</v>
      </c>
      <c r="D13" s="7" t="s">
        <v>422</v>
      </c>
      <c r="E13" s="49" t="s">
        <v>148</v>
      </c>
      <c r="F13" s="7" t="s">
        <v>148</v>
      </c>
      <c r="G13" s="14" t="s">
        <v>423</v>
      </c>
      <c r="H13" s="33" t="str">
        <f aca="false">IF(ISNUMBER(G13),G13/12,"n/a")</f>
        <v>n/a</v>
      </c>
      <c r="I13" s="34" t="str">
        <f aca="false">IFERROR(IF(ISNUMBER(G13),G13/E13,"n/a"),"n/a")</f>
        <v>n/a</v>
      </c>
      <c r="J13" s="47" t="str">
        <f aca="false">IF(AND(LEFT(F13,3)="NNN",ISNUMBER(I13)),"Not stated; master "&amp;TEXT('Executive Summary'!$B$8,"$0.00")&amp;" applied","Unknown")</f>
        <v>Unknown</v>
      </c>
      <c r="K13" s="35" t="str">
        <f aca="false">IF(AND(ISNUMBER(I13),LEFT(F13,3)="NNN"),I13+'Executive Summary'!$B$8,"n/a")</f>
        <v>n/a</v>
      </c>
      <c r="L13" s="7" t="s">
        <v>424</v>
      </c>
      <c r="M13" s="7" t="s">
        <v>148</v>
      </c>
      <c r="N13" s="7" t="s">
        <v>152</v>
      </c>
      <c r="O13" s="7" t="s">
        <v>425</v>
      </c>
      <c r="P13" s="7" t="s">
        <v>218</v>
      </c>
      <c r="Q13" s="48" t="s">
        <v>402</v>
      </c>
      <c r="R13" s="36" t="n">
        <v>2</v>
      </c>
      <c r="S13" s="37" t="s">
        <v>426</v>
      </c>
      <c r="T13" s="38" t="s">
        <v>427</v>
      </c>
    </row>
    <row r="15" customFormat="false" ht="15" hidden="false" customHeight="false" outlineLevel="0" collapsed="false">
      <c r="A15" s="3" t="s">
        <v>428</v>
      </c>
      <c r="B15" s="3"/>
      <c r="C15" s="3"/>
      <c r="D15" s="3"/>
      <c r="E15" s="3"/>
      <c r="F15" s="3"/>
      <c r="G15" s="3"/>
      <c r="H15" s="3"/>
      <c r="I15" s="3"/>
    </row>
    <row r="16" customFormat="false" ht="15" hidden="false" customHeight="false" outlineLevel="0" collapsed="false">
      <c r="A16" s="40" t="s">
        <v>429</v>
      </c>
      <c r="B16" s="53" t="n">
        <v>0.1</v>
      </c>
      <c r="C16" s="2" t="s">
        <v>430</v>
      </c>
    </row>
    <row r="17" customFormat="false" ht="23.85" hidden="false" customHeight="false" outlineLevel="0" collapsed="false">
      <c r="A17" s="4" t="s">
        <v>431</v>
      </c>
      <c r="B17" s="4" t="s">
        <v>432</v>
      </c>
      <c r="C17" s="4" t="s">
        <v>129</v>
      </c>
      <c r="D17" s="4" t="s">
        <v>433</v>
      </c>
      <c r="E17" s="4" t="s">
        <v>434</v>
      </c>
      <c r="F17" s="4" t="s">
        <v>435</v>
      </c>
      <c r="G17" s="4" t="s">
        <v>436</v>
      </c>
      <c r="H17" s="4" t="s">
        <v>437</v>
      </c>
      <c r="I17" s="4" t="s">
        <v>438</v>
      </c>
    </row>
    <row r="18" customFormat="false" ht="15" hidden="false" customHeight="false" outlineLevel="0" collapsed="false">
      <c r="A18" s="2" t="s">
        <v>439</v>
      </c>
      <c r="D18" s="54" t="n">
        <v>10</v>
      </c>
      <c r="F18" s="54" t="n">
        <v>15</v>
      </c>
      <c r="H18" s="54" t="n">
        <v>20</v>
      </c>
    </row>
    <row r="19" customFormat="false" ht="15" hidden="false" customHeight="false" outlineLevel="0" collapsed="false">
      <c r="A19" s="7" t="s">
        <v>440</v>
      </c>
      <c r="B19" s="12" t="n">
        <v>575000</v>
      </c>
      <c r="C19" s="7" t="s">
        <v>441</v>
      </c>
      <c r="D19" s="14" t="n">
        <f aca="false">PMT($B$16,D$18,-$B19)</f>
        <v>93578.6020574442</v>
      </c>
      <c r="E19" s="14" t="n">
        <f aca="false">D19/12</f>
        <v>7798.21683812035</v>
      </c>
      <c r="F19" s="14" t="n">
        <f aca="false">PMT($B$16,F$18,-$B19)</f>
        <v>75597.421710239</v>
      </c>
      <c r="G19" s="14" t="n">
        <f aca="false">F19/12</f>
        <v>6299.78514251992</v>
      </c>
      <c r="H19" s="14" t="n">
        <f aca="false">PMT($B$16,H$18,-$B19)</f>
        <v>67539.2842442138</v>
      </c>
      <c r="I19" s="14" t="n">
        <f aca="false">H19/12</f>
        <v>5628.27368701782</v>
      </c>
    </row>
    <row r="20" customFormat="false" ht="15" hidden="false" customHeight="false" outlineLevel="0" collapsed="false">
      <c r="A20" s="7" t="s">
        <v>442</v>
      </c>
      <c r="B20" s="12" t="n">
        <v>625000</v>
      </c>
      <c r="C20" s="7" t="s">
        <v>443</v>
      </c>
      <c r="D20" s="14" t="n">
        <f aca="false">PMT($B$16,D$18,-$B20)</f>
        <v>101715.87180157</v>
      </c>
      <c r="E20" s="14" t="n">
        <f aca="false">D20/12</f>
        <v>8476.32265013081</v>
      </c>
      <c r="F20" s="14" t="n">
        <f aca="false">PMT($B$16,F$18,-$B20)</f>
        <v>82171.1105546076</v>
      </c>
      <c r="G20" s="14" t="n">
        <f aca="false">F20/12</f>
        <v>6847.5925462173</v>
      </c>
      <c r="H20" s="14" t="n">
        <f aca="false">PMT($B$16,H$18,-$B20)</f>
        <v>73412.2654828411</v>
      </c>
      <c r="I20" s="14" t="n">
        <f aca="false">H20/12</f>
        <v>6117.68879023676</v>
      </c>
    </row>
    <row r="21" customFormat="false" ht="27" hidden="false" customHeight="true" outlineLevel="0" collapsed="false">
      <c r="A21" s="55" t="s">
        <v>444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</row>
    <row r="23" customFormat="false" ht="15" hidden="false" customHeight="false" outlineLevel="0" collapsed="false">
      <c r="A23" s="3" t="s">
        <v>445</v>
      </c>
      <c r="B23" s="3"/>
      <c r="C23" s="3"/>
      <c r="D23" s="3"/>
      <c r="E23" s="3"/>
      <c r="F23" s="3"/>
      <c r="G23" s="3"/>
      <c r="H23" s="3"/>
      <c r="I23" s="3"/>
    </row>
    <row r="24" customFormat="false" ht="15" hidden="false" customHeight="false" outlineLevel="0" collapsed="false">
      <c r="A24" s="40" t="s">
        <v>446</v>
      </c>
      <c r="B24" s="56" t="n">
        <v>4450000</v>
      </c>
      <c r="C24" s="2" t="s">
        <v>447</v>
      </c>
    </row>
    <row r="25" customFormat="false" ht="15" hidden="false" customHeight="false" outlineLevel="0" collapsed="false">
      <c r="A25" s="40" t="s">
        <v>448</v>
      </c>
      <c r="B25" s="56" t="n">
        <v>2825000</v>
      </c>
      <c r="C25" s="2" t="s">
        <v>383</v>
      </c>
    </row>
    <row r="26" customFormat="false" ht="15" hidden="false" customHeight="false" outlineLevel="0" collapsed="false">
      <c r="A26" s="40" t="s">
        <v>449</v>
      </c>
      <c r="B26" s="53" t="n">
        <v>0.055</v>
      </c>
      <c r="C26" s="2" t="s">
        <v>450</v>
      </c>
    </row>
    <row r="27" customFormat="false" ht="15" hidden="false" customHeight="false" outlineLevel="0" collapsed="false">
      <c r="A27" s="40" t="s">
        <v>451</v>
      </c>
      <c r="B27" s="53" t="n">
        <v>0.065</v>
      </c>
      <c r="C27" s="2" t="s">
        <v>450</v>
      </c>
    </row>
    <row r="28" customFormat="false" ht="15" hidden="false" customHeight="false" outlineLevel="0" collapsed="false">
      <c r="A28" s="40" t="s">
        <v>452</v>
      </c>
      <c r="B28" s="57" t="n">
        <v>2900</v>
      </c>
      <c r="C28" s="2" t="s">
        <v>453</v>
      </c>
    </row>
    <row r="29" customFormat="false" ht="15" hidden="false" customHeight="false" outlineLevel="0" collapsed="false">
      <c r="A29" s="40" t="s">
        <v>454</v>
      </c>
      <c r="B29" s="57" t="n">
        <v>2304</v>
      </c>
      <c r="C29" s="2" t="s">
        <v>455</v>
      </c>
    </row>
    <row r="31" customFormat="false" ht="15" hidden="false" customHeight="false" outlineLevel="0" collapsed="false">
      <c r="A31" s="4" t="s">
        <v>456</v>
      </c>
      <c r="B31" s="4" t="s">
        <v>457</v>
      </c>
      <c r="C31" s="4" t="s">
        <v>458</v>
      </c>
    </row>
    <row r="32" customFormat="false" ht="15" hidden="false" customHeight="false" outlineLevel="0" collapsed="false">
      <c r="A32" s="7" t="s">
        <v>459</v>
      </c>
      <c r="B32" s="14" t="n">
        <f aca="false">$B$24*$B$26</f>
        <v>244750</v>
      </c>
      <c r="C32" s="14" t="n">
        <f aca="false">$B$24*$B$27</f>
        <v>289250</v>
      </c>
    </row>
    <row r="33" customFormat="false" ht="15" hidden="false" customHeight="false" outlineLevel="0" collapsed="false">
      <c r="A33" s="7" t="s">
        <v>460</v>
      </c>
      <c r="B33" s="13" t="n">
        <f aca="false">B32/$B$28</f>
        <v>84.3965517241379</v>
      </c>
      <c r="C33" s="13" t="n">
        <f aca="false">C32/$B$28</f>
        <v>99.7413793103448</v>
      </c>
    </row>
    <row r="34" customFormat="false" ht="15" hidden="false" customHeight="false" outlineLevel="0" collapsed="false">
      <c r="A34" s="7" t="s">
        <v>461</v>
      </c>
      <c r="B34" s="13" t="n">
        <f aca="false">B32/$B$29</f>
        <v>106.228298611111</v>
      </c>
      <c r="C34" s="13" t="n">
        <f aca="false">C32/$B$29</f>
        <v>125.542534722222</v>
      </c>
    </row>
    <row r="35" customFormat="false" ht="15" hidden="false" customHeight="false" outlineLevel="0" collapsed="false">
      <c r="A35" s="7" t="s">
        <v>462</v>
      </c>
      <c r="B35" s="15" t="n">
        <f aca="false">$B$24/$B$25-1</f>
        <v>0.575221238938053</v>
      </c>
    </row>
    <row r="36" customFormat="false" ht="27" hidden="false" customHeight="true" outlineLevel="0" collapsed="false">
      <c r="A36" s="55" t="s">
        <v>463</v>
      </c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</row>
    <row r="38" customFormat="false" ht="15" hidden="false" customHeight="false" outlineLevel="0" collapsed="false">
      <c r="A38" s="3" t="s">
        <v>355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customFormat="false" ht="40.5" hidden="false" customHeight="true" outlineLevel="0" collapsed="false">
      <c r="A39" s="8" t="s">
        <v>356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</row>
    <row r="40" customFormat="false" ht="54" hidden="false" customHeight="true" outlineLevel="0" collapsed="false">
      <c r="A40" s="8" t="s">
        <v>357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</row>
    <row r="41" customFormat="false" ht="40.5" hidden="false" customHeight="true" outlineLevel="0" collapsed="false">
      <c r="A41" s="8" t="s">
        <v>358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</row>
    <row r="42" customFormat="false" ht="27" hidden="false" customHeight="true" outlineLevel="0" collapsed="false">
      <c r="A42" s="8" t="s">
        <v>359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</row>
  </sheetData>
  <mergeCells count="7">
    <mergeCell ref="A2:T2"/>
    <mergeCell ref="A21:L21"/>
    <mergeCell ref="A36:L36"/>
    <mergeCell ref="A39:L39"/>
    <mergeCell ref="A40:L40"/>
    <mergeCell ref="A41:L41"/>
    <mergeCell ref="A42:L42"/>
  </mergeCells>
  <hyperlinks>
    <hyperlink ref="T5" r:id="rId1" display="https://www.27east.com/real-estate-news/marys-marvelous-in-amagansett-to-close-when-new-tenant-is-found-1404430 | https://behindthehedges.com/marys-marvelous-amagansett-shut-organic-krush-open/ | https://27east.com/east-hampton-press/marys-marvelous-leaves-amagansett-organic-krush-to-move-in-1633346"/>
    <hyperlink ref="T6" r:id="rId2" display="https://www.danspapers.com/2020/02/highway-restaurant-buys-indian-wells-tavern"/>
    <hyperlink ref="T7" r:id="rId3" display="https://easthamptonstar.com/villages/2021527/hampton-chutney-co-squeezed-out-square | https://easthamptonstar.com/business-food/2021812/marvelous-new-home-hampton-chutney-co | https://www.easthamptonstar.com/villages-business/2023216/amagansett-main-street-flux"/>
    <hyperlink ref="T8" r:id="rId4" display="https://traded.co/deals/new-york/retail/lease/48-main-street/"/>
    <hyperlink ref="T9" r:id="rId5" display="https://traded.co/deals/new-york/retail/lease/53-the-circle/"/>
    <hyperlink ref="T10" r:id="rId6" display="https://behindthehedges.com/final-figure-amagansett-restaurant-sells-4-5m | https://www.danspapers.com/2022/10/amagansett-main-street-tavern-restaurant-building-for-sale | https://27east.com/east-hampton-press/rowdy-hall-to-move-from-east-hampton-village-to-amagansett-after-summer-2159344 | https://www.ehamptonny.gov/AgendaCenter/ViewFile/Item/2157?fileID=5624"/>
    <hyperlink ref="T13" r:id="rId7" display="https://easthamptonstar.com/villages-business/202672/amagansetts-west-end-sees-business-bo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26"/>
    <col collapsed="false" customWidth="true" hidden="false" outlineLevel="0" max="4" min="4" style="0" width="16"/>
    <col collapsed="false" customWidth="true" hidden="false" outlineLevel="0" max="5" min="5" style="0" width="60"/>
    <col collapsed="false" customWidth="true" hidden="false" outlineLevel="0" max="6" min="6" style="0" width="26"/>
    <col collapsed="false" customWidth="true" hidden="false" outlineLevel="0" max="7" min="7" style="0" width="24"/>
    <col collapsed="false" customWidth="true" hidden="false" outlineLevel="0" max="8" min="8" style="0" width="20"/>
    <col collapsed="false" customWidth="true" hidden="false" outlineLevel="0" max="9" min="9" style="0" width="40"/>
    <col collapsed="false" customWidth="true" hidden="false" outlineLevel="0" max="10" min="10" style="0" width="14"/>
    <col collapsed="false" customWidth="true" hidden="false" outlineLevel="0" max="11" min="11" style="0" width="8"/>
    <col collapsed="false" customWidth="true" hidden="false" outlineLevel="0" max="12" min="12" style="0" width="60"/>
  </cols>
  <sheetData>
    <row r="1" customFormat="false" ht="17.35" hidden="false" customHeight="false" outlineLevel="0" collapsed="false">
      <c r="A1" s="1" t="s">
        <v>464</v>
      </c>
    </row>
    <row r="2" customFormat="false" ht="15" hidden="false" customHeight="false" outlineLevel="0" collapsed="false">
      <c r="A2" s="2" t="s">
        <v>465</v>
      </c>
    </row>
    <row r="3" customFormat="false" ht="15" hidden="false" customHeight="false" outlineLevel="0" collapsed="false">
      <c r="A3" s="2" t="s">
        <v>466</v>
      </c>
    </row>
    <row r="4" customFormat="false" ht="15" hidden="false" customHeight="false" outlineLevel="0" collapsed="false">
      <c r="A4" s="4" t="s">
        <v>117</v>
      </c>
      <c r="B4" s="4" t="s">
        <v>18</v>
      </c>
      <c r="C4" s="4" t="s">
        <v>467</v>
      </c>
      <c r="D4" s="4" t="s">
        <v>128</v>
      </c>
      <c r="E4" s="4" t="s">
        <v>468</v>
      </c>
      <c r="F4" s="4" t="s">
        <v>469</v>
      </c>
      <c r="G4" s="4" t="s">
        <v>470</v>
      </c>
      <c r="H4" s="4" t="s">
        <v>471</v>
      </c>
      <c r="I4" s="4" t="s">
        <v>472</v>
      </c>
      <c r="J4" s="4" t="s">
        <v>129</v>
      </c>
      <c r="K4" s="4" t="s">
        <v>473</v>
      </c>
      <c r="L4" s="4" t="s">
        <v>134</v>
      </c>
    </row>
    <row r="5" customFormat="false" ht="23.85" hidden="false" customHeight="false" outlineLevel="0" collapsed="false">
      <c r="A5" s="7" t="s">
        <v>474</v>
      </c>
      <c r="B5" s="7" t="s">
        <v>475</v>
      </c>
      <c r="C5" s="7" t="s">
        <v>232</v>
      </c>
      <c r="D5" s="7" t="s">
        <v>476</v>
      </c>
      <c r="E5" s="37" t="s">
        <v>477</v>
      </c>
      <c r="F5" s="39" t="s">
        <v>478</v>
      </c>
      <c r="G5" s="58" t="s">
        <v>479</v>
      </c>
      <c r="H5" s="7" t="s">
        <v>83</v>
      </c>
      <c r="I5" s="37" t="s">
        <v>480</v>
      </c>
      <c r="J5" s="7" t="s">
        <v>481</v>
      </c>
      <c r="K5" s="48" t="s">
        <v>218</v>
      </c>
      <c r="L5" s="38" t="s">
        <v>482</v>
      </c>
    </row>
    <row r="6" customFormat="false" ht="15" hidden="false" customHeight="false" outlineLevel="0" collapsed="false">
      <c r="A6" s="7" t="s">
        <v>483</v>
      </c>
      <c r="B6" s="7" t="s">
        <v>484</v>
      </c>
      <c r="C6" s="7" t="s">
        <v>232</v>
      </c>
      <c r="D6" s="7" t="s">
        <v>485</v>
      </c>
      <c r="E6" s="37" t="s">
        <v>486</v>
      </c>
      <c r="F6" s="39" t="s">
        <v>478</v>
      </c>
      <c r="G6" s="58" t="s">
        <v>487</v>
      </c>
      <c r="H6" s="7" t="s">
        <v>83</v>
      </c>
      <c r="I6" s="37" t="s">
        <v>488</v>
      </c>
      <c r="J6" s="7" t="s">
        <v>489</v>
      </c>
      <c r="K6" s="48" t="s">
        <v>143</v>
      </c>
      <c r="L6" s="38" t="s">
        <v>490</v>
      </c>
    </row>
    <row r="7" customFormat="false" ht="23.85" hidden="false" customHeight="false" outlineLevel="0" collapsed="false">
      <c r="A7" s="7" t="s">
        <v>491</v>
      </c>
      <c r="B7" s="7" t="s">
        <v>492</v>
      </c>
      <c r="C7" s="7" t="s">
        <v>493</v>
      </c>
      <c r="D7" s="7" t="s">
        <v>494</v>
      </c>
      <c r="E7" s="37" t="s">
        <v>495</v>
      </c>
      <c r="F7" s="39" t="s">
        <v>478</v>
      </c>
      <c r="G7" s="58" t="s">
        <v>496</v>
      </c>
      <c r="H7" s="7" t="s">
        <v>83</v>
      </c>
      <c r="I7" s="37" t="s">
        <v>497</v>
      </c>
      <c r="J7" s="7" t="s">
        <v>489</v>
      </c>
      <c r="K7" s="48" t="s">
        <v>143</v>
      </c>
      <c r="L7" s="38" t="s">
        <v>490</v>
      </c>
    </row>
    <row r="8" customFormat="false" ht="23.85" hidden="false" customHeight="false" outlineLevel="0" collapsed="false">
      <c r="A8" s="7" t="s">
        <v>498</v>
      </c>
      <c r="B8" s="7" t="s">
        <v>499</v>
      </c>
      <c r="C8" s="7" t="s">
        <v>500</v>
      </c>
      <c r="D8" s="7" t="s">
        <v>501</v>
      </c>
      <c r="E8" s="37" t="s">
        <v>502</v>
      </c>
      <c r="F8" s="39" t="s">
        <v>478</v>
      </c>
      <c r="G8" s="58" t="s">
        <v>503</v>
      </c>
      <c r="H8" s="7" t="s">
        <v>83</v>
      </c>
      <c r="I8" s="37" t="s">
        <v>504</v>
      </c>
      <c r="J8" s="7" t="s">
        <v>505</v>
      </c>
      <c r="K8" s="48" t="s">
        <v>143</v>
      </c>
      <c r="L8" s="38" t="s">
        <v>506</v>
      </c>
    </row>
    <row r="9" customFormat="false" ht="15" hidden="false" customHeight="false" outlineLevel="0" collapsed="false">
      <c r="A9" s="7" t="s">
        <v>507</v>
      </c>
      <c r="B9" s="7" t="s">
        <v>508</v>
      </c>
      <c r="C9" s="7" t="s">
        <v>137</v>
      </c>
      <c r="D9" s="7" t="s">
        <v>509</v>
      </c>
      <c r="E9" s="37" t="s">
        <v>510</v>
      </c>
      <c r="F9" s="39" t="s">
        <v>367</v>
      </c>
      <c r="G9" s="58" t="s">
        <v>381</v>
      </c>
      <c r="H9" s="7" t="s">
        <v>83</v>
      </c>
      <c r="I9" s="37" t="s">
        <v>511</v>
      </c>
      <c r="J9" s="7" t="s">
        <v>512</v>
      </c>
      <c r="K9" s="48" t="s">
        <v>218</v>
      </c>
      <c r="L9" s="38" t="s">
        <v>513</v>
      </c>
    </row>
    <row r="10" customFormat="false" ht="23.85" hidden="false" customHeight="false" outlineLevel="0" collapsed="false">
      <c r="A10" s="7" t="s">
        <v>514</v>
      </c>
      <c r="B10" s="7" t="s">
        <v>508</v>
      </c>
      <c r="C10" s="7" t="s">
        <v>137</v>
      </c>
      <c r="D10" s="7" t="s">
        <v>515</v>
      </c>
      <c r="E10" s="37" t="s">
        <v>516</v>
      </c>
      <c r="F10" s="39" t="s">
        <v>517</v>
      </c>
      <c r="G10" s="58" t="s">
        <v>381</v>
      </c>
      <c r="H10" s="7" t="s">
        <v>518</v>
      </c>
      <c r="I10" s="37" t="s">
        <v>519</v>
      </c>
      <c r="J10" s="7" t="s">
        <v>520</v>
      </c>
      <c r="K10" s="48" t="s">
        <v>218</v>
      </c>
      <c r="L10" s="38" t="s">
        <v>521</v>
      </c>
    </row>
    <row r="11" customFormat="false" ht="15" hidden="false" customHeight="false" outlineLevel="0" collapsed="false">
      <c r="A11" s="7" t="s">
        <v>388</v>
      </c>
      <c r="B11" s="7" t="s">
        <v>522</v>
      </c>
      <c r="C11" s="7" t="s">
        <v>137</v>
      </c>
      <c r="D11" s="7" t="s">
        <v>523</v>
      </c>
      <c r="E11" s="37" t="s">
        <v>524</v>
      </c>
      <c r="F11" s="39" t="s">
        <v>381</v>
      </c>
      <c r="G11" s="58" t="s">
        <v>381</v>
      </c>
      <c r="H11" s="7" t="s">
        <v>83</v>
      </c>
      <c r="I11" s="37" t="s">
        <v>525</v>
      </c>
      <c r="J11" s="7" t="s">
        <v>526</v>
      </c>
      <c r="K11" s="48" t="s">
        <v>218</v>
      </c>
      <c r="L11" s="38" t="s">
        <v>527</v>
      </c>
    </row>
    <row r="12" customFormat="false" ht="15" hidden="false" customHeight="false" outlineLevel="0" collapsed="false">
      <c r="A12" s="7" t="s">
        <v>528</v>
      </c>
      <c r="B12" s="7" t="s">
        <v>499</v>
      </c>
      <c r="C12" s="7" t="s">
        <v>529</v>
      </c>
      <c r="D12" s="7" t="s">
        <v>530</v>
      </c>
      <c r="E12" s="37" t="s">
        <v>531</v>
      </c>
      <c r="F12" s="39" t="s">
        <v>532</v>
      </c>
      <c r="G12" s="58" t="s">
        <v>533</v>
      </c>
      <c r="H12" s="7" t="s">
        <v>83</v>
      </c>
      <c r="I12" s="37" t="s">
        <v>480</v>
      </c>
      <c r="J12" s="7" t="s">
        <v>534</v>
      </c>
      <c r="K12" s="48" t="s">
        <v>218</v>
      </c>
      <c r="L12" s="38" t="s">
        <v>535</v>
      </c>
    </row>
    <row r="13" customFormat="false" ht="15" hidden="false" customHeight="false" outlineLevel="0" collapsed="false">
      <c r="A13" s="7" t="s">
        <v>536</v>
      </c>
      <c r="B13" s="7" t="s">
        <v>537</v>
      </c>
      <c r="C13" s="7" t="s">
        <v>538</v>
      </c>
      <c r="D13" s="7" t="s">
        <v>539</v>
      </c>
      <c r="E13" s="37" t="s">
        <v>540</v>
      </c>
      <c r="F13" s="39" t="s">
        <v>381</v>
      </c>
      <c r="G13" s="59" t="n">
        <v>70</v>
      </c>
      <c r="H13" s="7" t="s">
        <v>83</v>
      </c>
      <c r="I13" s="37" t="s">
        <v>541</v>
      </c>
      <c r="J13" s="7" t="s">
        <v>542</v>
      </c>
      <c r="K13" s="48" t="s">
        <v>218</v>
      </c>
      <c r="L13" s="38" t="s">
        <v>543</v>
      </c>
    </row>
    <row r="14" customFormat="false" ht="23.85" hidden="false" customHeight="false" outlineLevel="0" collapsed="false">
      <c r="A14" s="7" t="s">
        <v>544</v>
      </c>
      <c r="B14" s="7" t="s">
        <v>364</v>
      </c>
      <c r="C14" s="7" t="s">
        <v>137</v>
      </c>
      <c r="D14" s="7" t="s">
        <v>545</v>
      </c>
      <c r="E14" s="37" t="s">
        <v>546</v>
      </c>
      <c r="F14" s="39" t="s">
        <v>547</v>
      </c>
      <c r="G14" s="58" t="s">
        <v>381</v>
      </c>
      <c r="H14" s="7" t="s">
        <v>83</v>
      </c>
      <c r="I14" s="37" t="s">
        <v>548</v>
      </c>
      <c r="J14" s="7" t="s">
        <v>549</v>
      </c>
      <c r="K14" s="48" t="s">
        <v>143</v>
      </c>
      <c r="L14" s="38" t="s">
        <v>550</v>
      </c>
    </row>
    <row r="15" customFormat="false" ht="23.85" hidden="false" customHeight="false" outlineLevel="0" collapsed="false">
      <c r="A15" s="7" t="s">
        <v>551</v>
      </c>
      <c r="B15" s="7" t="s">
        <v>552</v>
      </c>
      <c r="C15" s="7" t="s">
        <v>553</v>
      </c>
      <c r="D15" s="7" t="s">
        <v>554</v>
      </c>
      <c r="E15" s="37" t="s">
        <v>555</v>
      </c>
      <c r="F15" s="39" t="s">
        <v>556</v>
      </c>
      <c r="G15" s="58" t="s">
        <v>381</v>
      </c>
      <c r="H15" s="7" t="s">
        <v>381</v>
      </c>
      <c r="I15" s="37" t="s">
        <v>557</v>
      </c>
      <c r="J15" s="7" t="s">
        <v>558</v>
      </c>
      <c r="K15" s="48" t="s">
        <v>143</v>
      </c>
      <c r="L15" s="38" t="s">
        <v>559</v>
      </c>
    </row>
    <row r="16" customFormat="false" ht="23.85" hidden="false" customHeight="false" outlineLevel="0" collapsed="false">
      <c r="A16" s="7" t="s">
        <v>560</v>
      </c>
      <c r="B16" s="7" t="s">
        <v>364</v>
      </c>
      <c r="C16" s="7" t="s">
        <v>137</v>
      </c>
      <c r="D16" s="7" t="s">
        <v>561</v>
      </c>
      <c r="E16" s="37" t="s">
        <v>562</v>
      </c>
      <c r="F16" s="39" t="s">
        <v>367</v>
      </c>
      <c r="G16" s="58" t="s">
        <v>381</v>
      </c>
      <c r="H16" s="7" t="s">
        <v>83</v>
      </c>
      <c r="I16" s="37" t="s">
        <v>563</v>
      </c>
      <c r="J16" s="7" t="s">
        <v>564</v>
      </c>
      <c r="K16" s="48" t="s">
        <v>143</v>
      </c>
      <c r="L16" s="38" t="s">
        <v>565</v>
      </c>
    </row>
    <row r="17" customFormat="false" ht="23.85" hidden="false" customHeight="false" outlineLevel="0" collapsed="false">
      <c r="A17" s="7" t="s">
        <v>566</v>
      </c>
      <c r="B17" s="7" t="s">
        <v>364</v>
      </c>
      <c r="C17" s="7" t="s">
        <v>137</v>
      </c>
      <c r="D17" s="7" t="s">
        <v>567</v>
      </c>
      <c r="E17" s="37" t="s">
        <v>568</v>
      </c>
      <c r="F17" s="39" t="s">
        <v>569</v>
      </c>
      <c r="G17" s="58" t="s">
        <v>381</v>
      </c>
      <c r="H17" s="7" t="s">
        <v>83</v>
      </c>
      <c r="I17" s="37" t="s">
        <v>570</v>
      </c>
      <c r="J17" s="7" t="s">
        <v>571</v>
      </c>
      <c r="K17" s="48" t="s">
        <v>416</v>
      </c>
      <c r="L17" s="38" t="s">
        <v>572</v>
      </c>
    </row>
    <row r="18" customFormat="false" ht="23.85" hidden="false" customHeight="false" outlineLevel="0" collapsed="false">
      <c r="A18" s="7" t="s">
        <v>573</v>
      </c>
      <c r="B18" s="7" t="s">
        <v>574</v>
      </c>
      <c r="C18" s="7" t="s">
        <v>261</v>
      </c>
      <c r="D18" s="7" t="s">
        <v>575</v>
      </c>
      <c r="E18" s="37" t="s">
        <v>576</v>
      </c>
      <c r="F18" s="39" t="s">
        <v>478</v>
      </c>
      <c r="G18" s="58" t="s">
        <v>577</v>
      </c>
      <c r="H18" s="7" t="s">
        <v>578</v>
      </c>
      <c r="I18" s="37" t="s">
        <v>579</v>
      </c>
      <c r="J18" s="7" t="s">
        <v>580</v>
      </c>
      <c r="K18" s="48" t="s">
        <v>143</v>
      </c>
      <c r="L18" s="38" t="s">
        <v>581</v>
      </c>
    </row>
    <row r="19" customFormat="false" ht="23.85" hidden="false" customHeight="false" outlineLevel="0" collapsed="false">
      <c r="A19" s="7" t="s">
        <v>582</v>
      </c>
      <c r="B19" s="7" t="s">
        <v>136</v>
      </c>
      <c r="C19" s="7" t="s">
        <v>137</v>
      </c>
      <c r="D19" s="7" t="s">
        <v>583</v>
      </c>
      <c r="E19" s="37" t="s">
        <v>584</v>
      </c>
      <c r="F19" s="39" t="s">
        <v>381</v>
      </c>
      <c r="G19" s="58" t="s">
        <v>381</v>
      </c>
      <c r="H19" s="7" t="s">
        <v>83</v>
      </c>
      <c r="I19" s="37" t="s">
        <v>585</v>
      </c>
      <c r="J19" s="7" t="s">
        <v>586</v>
      </c>
      <c r="K19" s="48" t="s">
        <v>143</v>
      </c>
      <c r="L19" s="38" t="s">
        <v>587</v>
      </c>
    </row>
    <row r="20" customFormat="false" ht="35.05" hidden="false" customHeight="false" outlineLevel="0" collapsed="false">
      <c r="A20" s="7" t="s">
        <v>588</v>
      </c>
      <c r="B20" s="7" t="s">
        <v>499</v>
      </c>
      <c r="C20" s="7" t="s">
        <v>589</v>
      </c>
      <c r="D20" s="7" t="s">
        <v>590</v>
      </c>
      <c r="E20" s="37" t="s">
        <v>591</v>
      </c>
      <c r="F20" s="39" t="s">
        <v>592</v>
      </c>
      <c r="G20" s="58" t="s">
        <v>593</v>
      </c>
      <c r="H20" s="7" t="s">
        <v>578</v>
      </c>
      <c r="I20" s="37" t="s">
        <v>594</v>
      </c>
      <c r="J20" s="7" t="s">
        <v>595</v>
      </c>
      <c r="K20" s="48" t="s">
        <v>143</v>
      </c>
      <c r="L20" s="38" t="s">
        <v>596</v>
      </c>
    </row>
    <row r="21" customFormat="false" ht="15" hidden="false" customHeight="false" outlineLevel="0" collapsed="false">
      <c r="A21" s="7" t="s">
        <v>597</v>
      </c>
      <c r="B21" s="7" t="s">
        <v>377</v>
      </c>
      <c r="C21" s="7" t="s">
        <v>137</v>
      </c>
      <c r="D21" s="7" t="s">
        <v>382</v>
      </c>
      <c r="E21" s="37" t="s">
        <v>598</v>
      </c>
      <c r="F21" s="39" t="s">
        <v>379</v>
      </c>
      <c r="G21" s="58" t="s">
        <v>381</v>
      </c>
      <c r="H21" s="7" t="s">
        <v>381</v>
      </c>
      <c r="I21" s="37" t="s">
        <v>599</v>
      </c>
      <c r="J21" s="7" t="s">
        <v>383</v>
      </c>
      <c r="K21" s="48" t="s">
        <v>218</v>
      </c>
      <c r="L21" s="38" t="s">
        <v>386</v>
      </c>
    </row>
    <row r="22" customFormat="false" ht="23.85" hidden="false" customHeight="false" outlineLevel="0" collapsed="false">
      <c r="A22" s="7" t="s">
        <v>600</v>
      </c>
      <c r="B22" s="7" t="s">
        <v>553</v>
      </c>
      <c r="C22" s="7" t="s">
        <v>553</v>
      </c>
      <c r="D22" s="7" t="s">
        <v>601</v>
      </c>
      <c r="E22" s="37" t="s">
        <v>602</v>
      </c>
      <c r="F22" s="39" t="s">
        <v>556</v>
      </c>
      <c r="G22" s="58" t="s">
        <v>381</v>
      </c>
      <c r="H22" s="7" t="s">
        <v>381</v>
      </c>
      <c r="I22" s="37" t="s">
        <v>557</v>
      </c>
      <c r="J22" s="7" t="s">
        <v>603</v>
      </c>
      <c r="K22" s="48" t="s">
        <v>143</v>
      </c>
      <c r="L22" s="38" t="s">
        <v>604</v>
      </c>
    </row>
    <row r="23" customFormat="false" ht="23.85" hidden="false" customHeight="false" outlineLevel="0" collapsed="false">
      <c r="A23" s="7" t="s">
        <v>211</v>
      </c>
      <c r="B23" s="7" t="s">
        <v>212</v>
      </c>
      <c r="C23" s="7" t="s">
        <v>137</v>
      </c>
      <c r="D23" s="7" t="s">
        <v>216</v>
      </c>
      <c r="E23" s="37" t="s">
        <v>605</v>
      </c>
      <c r="F23" s="60" t="n">
        <f aca="false">'Comparable Properties'!B46</f>
        <v>50000</v>
      </c>
      <c r="G23" s="61" t="str">
        <f aca="false">TEXT('Comparable Properties'!F46,"$0")&amp;"–"&amp;TEXT('Comparable Properties'!G46,"$0")&amp;" per season"</f>
        <v>$25–$50 per season</v>
      </c>
      <c r="H23" s="7" t="s">
        <v>151</v>
      </c>
      <c r="I23" s="37" t="s">
        <v>541</v>
      </c>
      <c r="J23" s="7" t="s">
        <v>217</v>
      </c>
      <c r="K23" s="48" t="s">
        <v>218</v>
      </c>
      <c r="L23" s="38" t="s">
        <v>220</v>
      </c>
    </row>
    <row r="24" customFormat="false" ht="23.85" hidden="false" customHeight="false" outlineLevel="0" collapsed="false">
      <c r="A24" s="7" t="s">
        <v>606</v>
      </c>
      <c r="B24" s="7" t="s">
        <v>388</v>
      </c>
      <c r="C24" s="7" t="s">
        <v>137</v>
      </c>
      <c r="D24" s="7" t="s">
        <v>607</v>
      </c>
      <c r="E24" s="37" t="s">
        <v>608</v>
      </c>
      <c r="F24" s="39" t="s">
        <v>609</v>
      </c>
      <c r="G24" s="58" t="s">
        <v>381</v>
      </c>
      <c r="H24" s="7" t="s">
        <v>83</v>
      </c>
      <c r="I24" s="37" t="s">
        <v>610</v>
      </c>
      <c r="J24" s="7" t="s">
        <v>393</v>
      </c>
      <c r="K24" s="48" t="s">
        <v>218</v>
      </c>
      <c r="L24" s="38" t="s">
        <v>396</v>
      </c>
    </row>
    <row r="25" customFormat="false" ht="15" hidden="false" customHeight="false" outlineLevel="0" collapsed="false">
      <c r="A25" s="7" t="s">
        <v>611</v>
      </c>
      <c r="B25" s="7" t="s">
        <v>612</v>
      </c>
      <c r="C25" s="7" t="s">
        <v>232</v>
      </c>
      <c r="D25" s="7" t="s">
        <v>613</v>
      </c>
      <c r="E25" s="37" t="s">
        <v>614</v>
      </c>
      <c r="F25" s="39" t="s">
        <v>532</v>
      </c>
      <c r="G25" s="58" t="s">
        <v>615</v>
      </c>
      <c r="H25" s="7" t="s">
        <v>83</v>
      </c>
      <c r="I25" s="37" t="s">
        <v>616</v>
      </c>
      <c r="J25" s="7" t="s">
        <v>617</v>
      </c>
      <c r="K25" s="48" t="s">
        <v>218</v>
      </c>
      <c r="L25" s="38" t="s">
        <v>618</v>
      </c>
    </row>
    <row r="26" customFormat="false" ht="15" hidden="false" customHeight="false" outlineLevel="0" collapsed="false">
      <c r="A26" s="7" t="s">
        <v>619</v>
      </c>
      <c r="B26" s="7" t="s">
        <v>619</v>
      </c>
      <c r="C26" s="7" t="s">
        <v>137</v>
      </c>
      <c r="D26" s="7" t="s">
        <v>620</v>
      </c>
      <c r="E26" s="37" t="s">
        <v>621</v>
      </c>
      <c r="F26" s="39" t="s">
        <v>622</v>
      </c>
      <c r="G26" s="58" t="s">
        <v>381</v>
      </c>
      <c r="H26" s="7" t="s">
        <v>381</v>
      </c>
      <c r="I26" s="37" t="s">
        <v>623</v>
      </c>
      <c r="J26" s="7" t="s">
        <v>624</v>
      </c>
      <c r="K26" s="48" t="s">
        <v>625</v>
      </c>
      <c r="L26" s="38" t="s">
        <v>626</v>
      </c>
    </row>
    <row r="27" customFormat="false" ht="23.85" hidden="false" customHeight="false" outlineLevel="0" collapsed="false">
      <c r="A27" s="7" t="s">
        <v>627</v>
      </c>
      <c r="B27" s="7" t="s">
        <v>628</v>
      </c>
      <c r="C27" s="7" t="s">
        <v>232</v>
      </c>
      <c r="D27" s="7" t="s">
        <v>629</v>
      </c>
      <c r="E27" s="37" t="s">
        <v>630</v>
      </c>
      <c r="F27" s="39" t="s">
        <v>631</v>
      </c>
      <c r="G27" s="61" t="str">
        <f aca="false">TEXT('Executed Transactions'!I9,"$0")&amp;" / "&amp;TEXT('Executed Transactions'!I8,"$0")&amp;" / "&amp;TEXT('Executed Transactions'!I11,"$0")</f>
        <v>$73 / $125 / $145</v>
      </c>
      <c r="H27" s="7" t="s">
        <v>83</v>
      </c>
      <c r="I27" s="37" t="s">
        <v>632</v>
      </c>
      <c r="J27" s="7" t="s">
        <v>633</v>
      </c>
      <c r="K27" s="48" t="s">
        <v>283</v>
      </c>
      <c r="L27" s="38" t="s">
        <v>634</v>
      </c>
    </row>
    <row r="28" customFormat="false" ht="23.85" hidden="false" customHeight="false" outlineLevel="0" collapsed="false">
      <c r="A28" s="7" t="s">
        <v>635</v>
      </c>
      <c r="B28" s="7" t="s">
        <v>636</v>
      </c>
      <c r="C28" s="7" t="s">
        <v>636</v>
      </c>
      <c r="D28" s="7" t="s">
        <v>637</v>
      </c>
      <c r="E28" s="37" t="s">
        <v>638</v>
      </c>
      <c r="F28" s="39" t="s">
        <v>639</v>
      </c>
      <c r="G28" s="59" t="n">
        <v>46</v>
      </c>
      <c r="H28" s="7" t="s">
        <v>83</v>
      </c>
      <c r="I28" s="37" t="s">
        <v>640</v>
      </c>
      <c r="J28" s="7" t="s">
        <v>641</v>
      </c>
      <c r="K28" s="48" t="s">
        <v>143</v>
      </c>
      <c r="L28" s="38" t="s">
        <v>642</v>
      </c>
    </row>
    <row r="29" customFormat="false" ht="23.85" hidden="false" customHeight="false" outlineLevel="0" collapsed="false">
      <c r="A29" s="7" t="s">
        <v>377</v>
      </c>
      <c r="B29" s="7" t="s">
        <v>377</v>
      </c>
      <c r="C29" s="7" t="s">
        <v>137</v>
      </c>
      <c r="D29" s="7" t="s">
        <v>643</v>
      </c>
      <c r="E29" s="37" t="s">
        <v>644</v>
      </c>
      <c r="F29" s="39" t="s">
        <v>379</v>
      </c>
      <c r="G29" s="58" t="s">
        <v>381</v>
      </c>
      <c r="H29" s="7" t="s">
        <v>381</v>
      </c>
      <c r="I29" s="37" t="s">
        <v>645</v>
      </c>
      <c r="J29" s="7" t="s">
        <v>646</v>
      </c>
      <c r="K29" s="48" t="s">
        <v>416</v>
      </c>
      <c r="L29" s="38" t="s">
        <v>647</v>
      </c>
    </row>
    <row r="30" customFormat="false" ht="23.85" hidden="false" customHeight="false" outlineLevel="0" collapsed="false">
      <c r="A30" s="7" t="s">
        <v>648</v>
      </c>
      <c r="B30" s="7" t="s">
        <v>649</v>
      </c>
      <c r="C30" s="7" t="s">
        <v>232</v>
      </c>
      <c r="D30" s="7" t="s">
        <v>650</v>
      </c>
      <c r="E30" s="37" t="s">
        <v>651</v>
      </c>
      <c r="F30" s="39" t="s">
        <v>381</v>
      </c>
      <c r="G30" s="58" t="s">
        <v>652</v>
      </c>
      <c r="H30" s="7" t="s">
        <v>381</v>
      </c>
      <c r="I30" s="37" t="s">
        <v>653</v>
      </c>
      <c r="J30" s="7" t="s">
        <v>654</v>
      </c>
      <c r="K30" s="48" t="s">
        <v>143</v>
      </c>
      <c r="L30" s="38" t="s">
        <v>655</v>
      </c>
    </row>
    <row r="31" customFormat="false" ht="23.85" hidden="false" customHeight="false" outlineLevel="0" collapsed="false">
      <c r="A31" s="7" t="s">
        <v>202</v>
      </c>
      <c r="B31" s="7" t="s">
        <v>202</v>
      </c>
      <c r="C31" s="7" t="s">
        <v>137</v>
      </c>
      <c r="D31" s="7" t="s">
        <v>656</v>
      </c>
      <c r="E31" s="37" t="s">
        <v>657</v>
      </c>
      <c r="F31" s="39" t="s">
        <v>556</v>
      </c>
      <c r="G31" s="58" t="s">
        <v>381</v>
      </c>
      <c r="H31" s="7" t="s">
        <v>381</v>
      </c>
      <c r="I31" s="37" t="s">
        <v>658</v>
      </c>
      <c r="J31" s="7" t="s">
        <v>659</v>
      </c>
      <c r="K31" s="48" t="s">
        <v>143</v>
      </c>
      <c r="L31" s="38" t="s">
        <v>660</v>
      </c>
    </row>
    <row r="32" customFormat="false" ht="15" hidden="false" customHeight="false" outlineLevel="0" collapsed="false">
      <c r="A32" s="7" t="s">
        <v>193</v>
      </c>
      <c r="B32" s="7" t="s">
        <v>194</v>
      </c>
      <c r="C32" s="7" t="s">
        <v>661</v>
      </c>
      <c r="D32" s="7" t="s">
        <v>662</v>
      </c>
      <c r="E32" s="37" t="s">
        <v>663</v>
      </c>
      <c r="F32" s="60" t="n">
        <f aca="false">'Comparable Properties'!G12</f>
        <v>180000</v>
      </c>
      <c r="G32" s="61" t="n">
        <f aca="false">'Comparable Properties'!I12</f>
        <v>40.2144772117962</v>
      </c>
      <c r="H32" s="7" t="s">
        <v>83</v>
      </c>
      <c r="I32" s="37" t="s">
        <v>664</v>
      </c>
      <c r="J32" s="7" t="s">
        <v>665</v>
      </c>
      <c r="K32" s="48" t="s">
        <v>143</v>
      </c>
      <c r="L32" s="38" t="s">
        <v>666</v>
      </c>
    </row>
    <row r="33" customFormat="false" ht="23.85" hidden="false" customHeight="false" outlineLevel="0" collapsed="false">
      <c r="A33" s="7" t="s">
        <v>193</v>
      </c>
      <c r="B33" s="7" t="s">
        <v>194</v>
      </c>
      <c r="C33" s="7" t="s">
        <v>661</v>
      </c>
      <c r="D33" s="7" t="s">
        <v>667</v>
      </c>
      <c r="E33" s="37" t="s">
        <v>668</v>
      </c>
      <c r="F33" s="60" t="n">
        <f aca="false">'Comparable Properties'!G12</f>
        <v>180000</v>
      </c>
      <c r="G33" s="61" t="n">
        <f aca="false">'Comparable Properties'!I12</f>
        <v>40.2144772117962</v>
      </c>
      <c r="H33" s="7" t="s">
        <v>83</v>
      </c>
      <c r="I33" s="37" t="s">
        <v>669</v>
      </c>
      <c r="J33" s="7" t="s">
        <v>341</v>
      </c>
      <c r="K33" s="48" t="s">
        <v>143</v>
      </c>
      <c r="L33" s="38" t="s">
        <v>670</v>
      </c>
    </row>
    <row r="34" customFormat="false" ht="23.85" hidden="false" customHeight="false" outlineLevel="0" collapsed="false">
      <c r="A34" s="7" t="s">
        <v>671</v>
      </c>
      <c r="B34" s="7" t="s">
        <v>552</v>
      </c>
      <c r="C34" s="7" t="s">
        <v>553</v>
      </c>
      <c r="D34" s="7" t="s">
        <v>672</v>
      </c>
      <c r="E34" s="37" t="s">
        <v>673</v>
      </c>
      <c r="F34" s="39" t="s">
        <v>674</v>
      </c>
      <c r="G34" s="59" t="n">
        <v>80.69</v>
      </c>
      <c r="H34" s="7" t="s">
        <v>83</v>
      </c>
      <c r="I34" s="37" t="s">
        <v>541</v>
      </c>
      <c r="J34" s="7" t="s">
        <v>675</v>
      </c>
      <c r="K34" s="48" t="s">
        <v>143</v>
      </c>
      <c r="L34" s="38" t="s">
        <v>676</v>
      </c>
    </row>
    <row r="35" customFormat="false" ht="15" hidden="false" customHeight="false" outlineLevel="0" collapsed="false">
      <c r="A35" s="7" t="s">
        <v>582</v>
      </c>
      <c r="B35" s="7" t="s">
        <v>136</v>
      </c>
      <c r="C35" s="7" t="s">
        <v>137</v>
      </c>
      <c r="D35" s="7" t="s">
        <v>677</v>
      </c>
      <c r="E35" s="37" t="s">
        <v>678</v>
      </c>
      <c r="F35" s="39" t="s">
        <v>381</v>
      </c>
      <c r="G35" s="58" t="s">
        <v>381</v>
      </c>
      <c r="H35" s="7" t="s">
        <v>83</v>
      </c>
      <c r="I35" s="37" t="s">
        <v>679</v>
      </c>
      <c r="J35" s="7" t="s">
        <v>680</v>
      </c>
      <c r="K35" s="48" t="s">
        <v>218</v>
      </c>
      <c r="L35" s="38" t="s">
        <v>681</v>
      </c>
    </row>
    <row r="36" customFormat="false" ht="15" hidden="false" customHeight="false" outlineLevel="0" collapsed="false">
      <c r="A36" s="7" t="s">
        <v>682</v>
      </c>
      <c r="B36" s="7" t="s">
        <v>136</v>
      </c>
      <c r="C36" s="7" t="s">
        <v>137</v>
      </c>
      <c r="D36" s="7" t="s">
        <v>152</v>
      </c>
      <c r="E36" s="37" t="s">
        <v>683</v>
      </c>
      <c r="F36" s="60" t="n">
        <f aca="false">'Comparable Properties'!G5</f>
        <v>240000</v>
      </c>
      <c r="G36" s="61" t="n">
        <f aca="false">'Comparable Properties'!I5</f>
        <v>84.8056537102474</v>
      </c>
      <c r="H36" s="7" t="s">
        <v>684</v>
      </c>
      <c r="I36" s="37" t="s">
        <v>685</v>
      </c>
      <c r="J36" s="7" t="s">
        <v>334</v>
      </c>
      <c r="K36" s="48" t="s">
        <v>143</v>
      </c>
      <c r="L36" s="38" t="s">
        <v>686</v>
      </c>
    </row>
    <row r="37" customFormat="false" ht="15" hidden="false" customHeight="false" outlineLevel="0" collapsed="false">
      <c r="A37" s="7" t="s">
        <v>687</v>
      </c>
      <c r="B37" s="7" t="s">
        <v>158</v>
      </c>
      <c r="C37" s="7" t="s">
        <v>137</v>
      </c>
      <c r="D37" s="7" t="s">
        <v>152</v>
      </c>
      <c r="E37" s="37" t="s">
        <v>688</v>
      </c>
      <c r="F37" s="39" t="s">
        <v>689</v>
      </c>
      <c r="G37" s="61" t="str">
        <f aca="false">TEXT('Comparable Properties'!I8,"$0")&amp;" / "&amp;TEXT('Comparable Properties'!I9,"$0")&amp;" / "&amp;TEXT('Comparable Properties'!I7,"$0")</f>
        <v>$35 / $50 / $65</v>
      </c>
      <c r="H37" s="7" t="s">
        <v>83</v>
      </c>
      <c r="I37" s="37" t="s">
        <v>690</v>
      </c>
      <c r="J37" s="7" t="s">
        <v>691</v>
      </c>
      <c r="K37" s="48" t="s">
        <v>143</v>
      </c>
      <c r="L37" s="38" t="s">
        <v>692</v>
      </c>
    </row>
    <row r="38" customFormat="false" ht="23.85" hidden="false" customHeight="false" outlineLevel="0" collapsed="false">
      <c r="A38" s="7" t="s">
        <v>693</v>
      </c>
      <c r="B38" s="7" t="s">
        <v>179</v>
      </c>
      <c r="C38" s="7" t="s">
        <v>137</v>
      </c>
      <c r="D38" s="7" t="s">
        <v>152</v>
      </c>
      <c r="E38" s="37" t="s">
        <v>694</v>
      </c>
      <c r="F38" s="60" t="n">
        <f aca="false">'Comparable Properties'!G10</f>
        <v>96000</v>
      </c>
      <c r="G38" s="61" t="n">
        <f aca="false">'Comparable Properties'!I10</f>
        <v>192</v>
      </c>
      <c r="H38" s="7" t="s">
        <v>83</v>
      </c>
      <c r="I38" s="37" t="s">
        <v>695</v>
      </c>
      <c r="J38" s="7" t="s">
        <v>696</v>
      </c>
      <c r="K38" s="48" t="s">
        <v>697</v>
      </c>
      <c r="L38" s="38" t="s">
        <v>698</v>
      </c>
    </row>
    <row r="39" customFormat="false" ht="23.85" hidden="false" customHeight="false" outlineLevel="0" collapsed="false">
      <c r="A39" s="7" t="s">
        <v>699</v>
      </c>
      <c r="B39" s="7" t="s">
        <v>700</v>
      </c>
      <c r="C39" s="7" t="s">
        <v>137</v>
      </c>
      <c r="D39" s="7" t="s">
        <v>701</v>
      </c>
      <c r="E39" s="37" t="s">
        <v>702</v>
      </c>
      <c r="F39" s="39" t="s">
        <v>381</v>
      </c>
      <c r="G39" s="58" t="s">
        <v>381</v>
      </c>
      <c r="H39" s="7" t="s">
        <v>83</v>
      </c>
      <c r="I39" s="37" t="s">
        <v>703</v>
      </c>
      <c r="J39" s="7" t="s">
        <v>425</v>
      </c>
      <c r="K39" s="48" t="s">
        <v>218</v>
      </c>
      <c r="L39" s="38" t="s">
        <v>427</v>
      </c>
    </row>
    <row r="41" customFormat="false" ht="40.5" hidden="false" customHeight="true" outlineLevel="0" collapsed="false">
      <c r="A41" s="55" t="s">
        <v>704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</row>
    <row r="43" customFormat="false" ht="15" hidden="false" customHeight="false" outlineLevel="0" collapsed="false">
      <c r="A43" s="3" t="s">
        <v>355</v>
      </c>
      <c r="B43" s="3"/>
      <c r="C43" s="3"/>
      <c r="D43" s="3"/>
      <c r="E43" s="3"/>
      <c r="F43" s="3"/>
      <c r="G43" s="3"/>
      <c r="H43" s="3"/>
      <c r="I43" s="3"/>
      <c r="J43" s="3"/>
      <c r="K43" s="3"/>
    </row>
    <row r="44" customFormat="false" ht="40.5" hidden="false" customHeight="true" outlineLevel="0" collapsed="false">
      <c r="A44" s="8" t="s">
        <v>356</v>
      </c>
      <c r="B44" s="8"/>
      <c r="C44" s="8"/>
      <c r="D44" s="8"/>
      <c r="E44" s="8"/>
      <c r="F44" s="8"/>
      <c r="G44" s="8"/>
      <c r="H44" s="8"/>
      <c r="I44" s="8"/>
      <c r="J44" s="8"/>
      <c r="K44" s="8"/>
    </row>
    <row r="45" customFormat="false" ht="54" hidden="false" customHeight="true" outlineLevel="0" collapsed="false">
      <c r="A45" s="8" t="s">
        <v>357</v>
      </c>
      <c r="B45" s="8"/>
      <c r="C45" s="8"/>
      <c r="D45" s="8"/>
      <c r="E45" s="8"/>
      <c r="F45" s="8"/>
      <c r="G45" s="8"/>
      <c r="H45" s="8"/>
      <c r="I45" s="8"/>
      <c r="J45" s="8"/>
      <c r="K45" s="8"/>
    </row>
    <row r="46" customFormat="false" ht="40.5" hidden="false" customHeight="true" outlineLevel="0" collapsed="false">
      <c r="A46" s="8" t="s">
        <v>358</v>
      </c>
      <c r="B46" s="8"/>
      <c r="C46" s="8"/>
      <c r="D46" s="8"/>
      <c r="E46" s="8"/>
      <c r="F46" s="8"/>
      <c r="G46" s="8"/>
      <c r="H46" s="8"/>
      <c r="I46" s="8"/>
      <c r="J46" s="8"/>
      <c r="K46" s="8"/>
    </row>
    <row r="47" customFormat="false" ht="27" hidden="false" customHeight="true" outlineLevel="0" collapsed="false">
      <c r="A47" s="8" t="s">
        <v>359</v>
      </c>
      <c r="B47" s="8"/>
      <c r="C47" s="8"/>
      <c r="D47" s="8"/>
      <c r="E47" s="8"/>
      <c r="F47" s="8"/>
      <c r="G47" s="8"/>
      <c r="H47" s="8"/>
      <c r="I47" s="8"/>
      <c r="J47" s="8"/>
      <c r="K47" s="8"/>
    </row>
  </sheetData>
  <mergeCells count="5">
    <mergeCell ref="A41:K41"/>
    <mergeCell ref="A44:K44"/>
    <mergeCell ref="A45:K45"/>
    <mergeCell ref="A46:K46"/>
    <mergeCell ref="A47:K47"/>
  </mergeCells>
  <hyperlinks>
    <hyperlink ref="L5" r:id="rId1" display="https://www.easthamptonstar.com/archive/village-going-going"/>
    <hyperlink ref="L6" r:id="rId2" display="https://therealdeal.com/magazine/new-york-june-2009/retail-cools-in-hamptons"/>
    <hyperlink ref="L7" r:id="rId3" display="https://therealdeal.com/magazine/new-york-june-2009/retail-cools-in-hamptons"/>
    <hyperlink ref="L8" r:id="rId4" display="https://www.corcoran.com/nyc/press-mention/display/12619"/>
    <hyperlink ref="L9" r:id="rId5" display="https://www.easthamptonstar.com/archive/outdoors-heading-out | https://www.easthamptonstar.com/archive/square-dance-amagansett"/>
    <hyperlink ref="L10" r:id="rId6" display="https://patch.com/new-york/easthampton/gone-local-goes-looking-for-a-new-space"/>
    <hyperlink ref="L11" r:id="rId7" display="https://www.easthamptonstar.com/archive/square-dance-amagansett | https://www.easthamptonstar.com/archive/lifestyle-shops-fill-gansett-square-capacity"/>
    <hyperlink ref="L12" r:id="rId8" display="https://www.27east.com/real-estate-news/pulse-points-1407695"/>
    <hyperlink ref="L13" r:id="rId9" display="https://www.easthamptonstar.com/archive/corner-building-1075-million"/>
    <hyperlink ref="L14" r:id="rId10" display="https://patch.com/new-york/riverhead/marys-marvelous-amagansett-close-new-tenant-sought | https://www.27east.com/real-estate-news/marys-marvelous-in-amagansett-to-close-when-new-tenant-is-found-1404430 | https://behindthehedges.com/marys-marvelous-in-amagansett-closing-and-available-to-lease/"/>
    <hyperlink ref="L15" r:id="rId11" display="https://behindthehedges.com/montauk-retail-plaza-cheaper"/>
    <hyperlink ref="L16" r:id="rId12" display="https://27east.com/east-hampton-press/marys-marvelous-leaves-amagansett-organic-krush-to-move-in-1633346"/>
    <hyperlink ref="L17" r:id="rId13" display="https://behindthehedges.com/marys-marvelous-amagansett-shut-organic-krush-open/ | https://www.danspapers.com/2017/06/behind-the-hedges-organic-krush-in-amagansett"/>
    <hyperlink ref="L18" r:id="rId14" display="https://therealdeal.com/magazine/new-york-july-2017/fashion-and-furnishings-lead-a-retail-revival-in-southampton/"/>
    <hyperlink ref="L19" r:id="rId15" display="https://therealdeal.com/tristate/issues_articles/the-hamptons-new-hotspots"/>
    <hyperlink ref="L20" r:id="rId16" display="https://therealdeal.com/new-york/tristate/2019/06/03/revolving-retail-in-the-hamptons/"/>
    <hyperlink ref="L21" r:id="rId17" display="https://www.danspapers.com/2020/02/highway-restaurant-buys-indian-wells-tavern"/>
    <hyperlink ref="L22" r:id="rId18" display="https://behindthehedges.com/two-commercial-properties-in-montauk-back-on-the-market/"/>
    <hyperlink ref="L23" r:id="rId19" display="https://www.corcoran.com/listing/for-rent/249-main-street-amagansett-ny-11930/5981523/regionId/3"/>
    <hyperlink ref="L24" r:id="rId20" display="https://easthamptonstar.com/villages/2021527/hampton-chutney-co-squeezed-out-square | https://easthamptonstar.com/business-food/2021812/marvelous-new-home-hampton-chutney-co | https://www.easthamptonstar.com/villages-business/2023216/amagansett-main-street-flux"/>
    <hyperlink ref="L25" r:id="rId21" display="https://www.easthamptonstar.com/villages/202192/general-store-east-hampton-its-challenge"/>
    <hyperlink ref="L26" r:id="rId22" display="https://www.easthamptonstar.com/business/2022317/recorded-deeds-031722 | https://behindthehedges.com/amagansett-applied-arts-building-sells-5-2-m"/>
    <hyperlink ref="L27" r:id="rId23" display="https://traded.co/deals/new-york/retail/lease/53-the-circle-1/ | https://traded.co/deals/new-york/retail/lease/53-the-circle/ | https://traded.co/deals/new-york/retail/lease/48-main-street/"/>
    <hyperlink ref="L28" r:id="rId24" display="https://behindthehedges.com/southampton-restaurant-sale-first-time-20/"/>
    <hyperlink ref="L29" r:id="rId25" display="https://behindthehedges.com/final-figure-amagansett-restaurant-sells-4-5m | https://www.danspapers.com/2022/10/amagansett-main-street-tavern-restaurant-building-for-sale | https://27east.com/east-hampton-press/rowdy-hall-to-move-from-east-hampton-village-to-amagansett-after-summer-2159344"/>
    <hyperlink ref="L30" r:id="rId26" display="https://behindthehedges.com/hamptons-commercial-real-estate-market/"/>
    <hyperlink ref="L31" r:id="rId27" display="https://behindthehedges.com/amagansett-commercial-property-lists-8-million"/>
    <hyperlink ref="L32" r:id="rId28" display="https://behindthehedges.com/fall-2024-food-market-commercial-real-estate"/>
    <hyperlink ref="L33" r:id="rId29" display="https://www.compass.com/homedetails/2095-Montauk-Hwy-Amagansett-NY-11930/1826297907410452777_lid/"/>
    <hyperlink ref="L34" r:id="rId30" display="https://behindthehedges.com/premier-retail-building-downtown-montauk-10m/"/>
    <hyperlink ref="L35" r:id="rId31" display="https://www.easthamptonstar.com/food/2025925/adios-coche-comedor"/>
    <hyperlink ref="L36" r:id="rId32" display="https://hamptonscommercialre.com/properties/iconic-amagansett-restaurant-turn-key-opportunity/"/>
    <hyperlink ref="L37" r:id="rId33" display="https://hamptonscommercialre.com/properties/first-floor-commercial-space/ | https://hamptonscommercialre.com/properties/ground-level-commercial-offering/ | https://hamptonscommercialre.com/properties/second-floor-amagansett-commercial-flex-space-iconic-building/"/>
    <hyperlink ref="L38" r:id="rId34" display="https://www.loopnet.com/Listing/136-Main-St-Amagansett-NY/32986784/ | https://hamptonscommercialre.com/properties/premier-amagansett-commercial-assemblage-136-main-street-11-indian-wells-hwy-amagansett/"/>
    <hyperlink ref="L39" r:id="rId35" display="https://easthamptonstar.com/villages-business/202672/amagansetts-west-end-sees-business-bo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8" min="2" style="0" width="16"/>
    <col collapsed="false" customWidth="true" hidden="false" outlineLevel="0" max="9" min="9" style="0" width="90"/>
  </cols>
  <sheetData>
    <row r="1" customFormat="false" ht="17.35" hidden="false" customHeight="false" outlineLevel="0" collapsed="false">
      <c r="A1" s="1" t="s">
        <v>705</v>
      </c>
    </row>
    <row r="2" customFormat="false" ht="15" hidden="false" customHeight="false" outlineLevel="0" collapsed="false">
      <c r="A2" s="2" t="s">
        <v>706</v>
      </c>
    </row>
    <row r="3" customFormat="false" ht="15" hidden="false" customHeight="false" outlineLevel="0" collapsed="false">
      <c r="A3" s="2" t="s">
        <v>707</v>
      </c>
    </row>
    <row r="5" customFormat="false" ht="23.85" hidden="false" customHeight="false" outlineLevel="0" collapsed="false">
      <c r="A5" s="4" t="s">
        <v>708</v>
      </c>
      <c r="B5" s="4" t="s">
        <v>136</v>
      </c>
      <c r="C5" s="4" t="s">
        <v>709</v>
      </c>
      <c r="D5" s="4" t="s">
        <v>194</v>
      </c>
      <c r="E5" s="4" t="s">
        <v>710</v>
      </c>
      <c r="F5" s="4" t="s">
        <v>711</v>
      </c>
      <c r="G5" s="4" t="s">
        <v>712</v>
      </c>
      <c r="H5" s="4" t="s">
        <v>713</v>
      </c>
      <c r="I5" s="4" t="s">
        <v>714</v>
      </c>
    </row>
    <row r="6" customFormat="false" ht="39.75" hidden="false" customHeight="true" outlineLevel="0" collapsed="false">
      <c r="A6" s="19" t="s">
        <v>715</v>
      </c>
      <c r="B6" s="62" t="str">
        <f aca="false">'Comparable Properties'!A5</f>
        <v>Former Coche Comedor (annual option)</v>
      </c>
      <c r="C6" s="62" t="str">
        <f aca="false">'Comparable Properties'!A7</f>
        <v>11 Indian Wells Hwy, first floor</v>
      </c>
      <c r="D6" s="62" t="str">
        <f aca="false">'Comparable Properties'!A12</f>
        <v>2095 Montauk Hwy restaurant</v>
      </c>
      <c r="E6" s="62" t="str">
        <f aca="false">'Comparable Properties'!A15</f>
        <v>17 S Edison St restaurant</v>
      </c>
      <c r="F6" s="62" t="str">
        <f aca="false">'Comparable Properties'!A14</f>
        <v>249 Main St, Building B pop-up</v>
      </c>
      <c r="G6" s="62" t="str">
        <f aca="false">'Comparable Properties'!A19</f>
        <v>9 Railroad Ave</v>
      </c>
      <c r="H6" s="62" t="str">
        <f aca="false">'Comparable Properties'!A25</f>
        <v>7 Hill St (inline)</v>
      </c>
      <c r="I6" s="2" t="s">
        <v>716</v>
      </c>
    </row>
    <row r="7" customFormat="false" ht="15" hidden="false" customHeight="false" outlineLevel="0" collapsed="false">
      <c r="A7" s="40" t="s">
        <v>717</v>
      </c>
      <c r="B7" s="48" t="s">
        <v>718</v>
      </c>
      <c r="C7" s="48" t="s">
        <v>718</v>
      </c>
      <c r="D7" s="48" t="s">
        <v>719</v>
      </c>
      <c r="E7" s="48" t="s">
        <v>718</v>
      </c>
      <c r="F7" s="48" t="s">
        <v>720</v>
      </c>
      <c r="G7" s="48" t="s">
        <v>718</v>
      </c>
      <c r="H7" s="48" t="s">
        <v>718</v>
      </c>
    </row>
    <row r="8" customFormat="false" ht="15" hidden="false" customHeight="false" outlineLevel="0" collapsed="false">
      <c r="A8" s="40" t="s">
        <v>721</v>
      </c>
      <c r="B8" s="46" t="n">
        <f aca="false">'Comparable Properties'!E5</f>
        <v>2830</v>
      </c>
      <c r="C8" s="46" t="n">
        <f aca="false">'Comparable Properties'!E7</f>
        <v>2480</v>
      </c>
      <c r="D8" s="46" t="n">
        <f aca="false">'Comparable Properties'!E12</f>
        <v>4476</v>
      </c>
      <c r="E8" s="46" t="n">
        <f aca="false">'Comparable Properties'!E15</f>
        <v>2729</v>
      </c>
      <c r="F8" s="46" t="n">
        <f aca="false">'Comparable Properties'!E14</f>
        <v>2000</v>
      </c>
      <c r="G8" s="46" t="n">
        <f aca="false">'Comparable Properties'!E19</f>
        <v>3000</v>
      </c>
      <c r="H8" s="46" t="n">
        <f aca="false">'Comparable Properties'!E25</f>
        <v>925</v>
      </c>
    </row>
    <row r="9" customFormat="false" ht="15" hidden="false" customHeight="false" outlineLevel="0" collapsed="false">
      <c r="A9" s="40" t="s">
        <v>722</v>
      </c>
      <c r="B9" s="49" t="n">
        <f aca="false">B8</f>
        <v>2830</v>
      </c>
      <c r="C9" s="49" t="n">
        <f aca="false">C8</f>
        <v>2480</v>
      </c>
      <c r="D9" s="49" t="n">
        <f aca="false">D8</f>
        <v>4476</v>
      </c>
      <c r="E9" s="49" t="n">
        <f aca="false">E8</f>
        <v>2729</v>
      </c>
      <c r="F9" s="49" t="n">
        <f aca="false">$C$47</f>
        <v>1000</v>
      </c>
      <c r="G9" s="49" t="n">
        <f aca="false">G8</f>
        <v>3000</v>
      </c>
      <c r="H9" s="49" t="n">
        <f aca="false">H8</f>
        <v>925</v>
      </c>
      <c r="I9" s="2" t="s">
        <v>723</v>
      </c>
    </row>
    <row r="10" customFormat="false" ht="15" hidden="false" customHeight="false" outlineLevel="0" collapsed="false">
      <c r="A10" s="40" t="s">
        <v>724</v>
      </c>
      <c r="B10" s="16" t="n">
        <f aca="false">'Comparable Properties'!I5</f>
        <v>84.8056537102474</v>
      </c>
      <c r="C10" s="16" t="n">
        <f aca="false">'Comparable Properties'!I7</f>
        <v>65</v>
      </c>
      <c r="D10" s="16" t="n">
        <f aca="false">'Comparable Properties'!I12</f>
        <v>40.2144772117962</v>
      </c>
      <c r="E10" s="16" t="n">
        <f aca="false">'Comparable Properties'!I15</f>
        <v>57.1637962623672</v>
      </c>
      <c r="F10" s="51" t="n">
        <f aca="false">'Comparable Properties'!B46</f>
        <v>50000</v>
      </c>
      <c r="G10" s="16" t="n">
        <f aca="false">'Comparable Properties'!I19</f>
        <v>83.3333333333333</v>
      </c>
      <c r="H10" s="16" t="n">
        <f aca="false">'Comparable Properties'!I25</f>
        <v>71.3513513513514</v>
      </c>
    </row>
    <row r="11" customFormat="false" ht="23.85" hidden="false" customHeight="false" outlineLevel="0" collapsed="false">
      <c r="A11" s="19" t="s">
        <v>725</v>
      </c>
      <c r="B11" s="63" t="n">
        <f aca="false">B10</f>
        <v>84.8056537102474</v>
      </c>
      <c r="C11" s="63" t="n">
        <f aca="false">C10</f>
        <v>65</v>
      </c>
      <c r="D11" s="63" t="n">
        <f aca="false">D10</f>
        <v>40.2144772117962</v>
      </c>
      <c r="E11" s="63" t="n">
        <f aca="false">E10</f>
        <v>57.1637962623672</v>
      </c>
      <c r="F11" s="64" t="n">
        <f aca="false">F10/'Comparable Properties'!$C$34/(($C$47)+($C$48)*($C$49))-'Executive Summary'!$B$8</f>
        <v>39.9483568075117</v>
      </c>
      <c r="G11" s="63" t="n">
        <f aca="false">G10</f>
        <v>83.3333333333333</v>
      </c>
      <c r="H11" s="63" t="n">
        <f aca="false">H10</f>
        <v>71.3513513513514</v>
      </c>
      <c r="I11" s="65" t="s">
        <v>726</v>
      </c>
    </row>
    <row r="12" customFormat="false" ht="15" hidden="false" customHeight="false" outlineLevel="0" collapsed="false">
      <c r="A12" s="40" t="s">
        <v>727</v>
      </c>
      <c r="B12" s="66" t="n">
        <v>-0.1</v>
      </c>
      <c r="C12" s="66" t="n">
        <v>-0.1</v>
      </c>
      <c r="D12" s="66" t="n">
        <v>0</v>
      </c>
      <c r="E12" s="66" t="n">
        <v>-0.05</v>
      </c>
      <c r="F12" s="66" t="n">
        <v>-0.05</v>
      </c>
      <c r="G12" s="66" t="n">
        <v>-0.1</v>
      </c>
      <c r="H12" s="66" t="n">
        <v>-0.05</v>
      </c>
      <c r="I12" s="65" t="s">
        <v>728</v>
      </c>
    </row>
    <row r="13" customFormat="false" ht="23.85" hidden="false" customHeight="false" outlineLevel="0" collapsed="false">
      <c r="A13" s="40" t="s">
        <v>729</v>
      </c>
      <c r="B13" s="66" t="n">
        <v>0</v>
      </c>
      <c r="C13" s="66" t="n">
        <v>0</v>
      </c>
      <c r="D13" s="66" t="n">
        <v>0</v>
      </c>
      <c r="E13" s="66" t="n">
        <v>0</v>
      </c>
      <c r="F13" s="66" t="n">
        <v>0.1</v>
      </c>
      <c r="G13" s="66" t="n">
        <v>0</v>
      </c>
      <c r="H13" s="66" t="n">
        <v>0</v>
      </c>
      <c r="I13" s="65" t="s">
        <v>730</v>
      </c>
    </row>
    <row r="14" customFormat="false" ht="15" hidden="false" customHeight="false" outlineLevel="0" collapsed="false">
      <c r="A14" s="19" t="s">
        <v>731</v>
      </c>
      <c r="B14" s="63" t="n">
        <f aca="false">B11*(1+B12)*(1+B13)</f>
        <v>76.3250883392226</v>
      </c>
      <c r="C14" s="63" t="n">
        <f aca="false">C11*(1+C12)*(1+C13)</f>
        <v>58.5</v>
      </c>
      <c r="D14" s="63" t="n">
        <f aca="false">D11*(1+D12)*(1+D13)</f>
        <v>40.2144772117962</v>
      </c>
      <c r="E14" s="63" t="n">
        <f aca="false">E11*(1+E12)*(1+E13)</f>
        <v>54.3056064492488</v>
      </c>
      <c r="F14" s="63" t="n">
        <f aca="false">F11*(1+F12)*(1+F13)</f>
        <v>41.7460328638498</v>
      </c>
      <c r="G14" s="63" t="n">
        <f aca="false">G11*(1+G12)*(1+G13)</f>
        <v>75</v>
      </c>
      <c r="H14" s="63" t="n">
        <f aca="false">H11*(1+H12)*(1+H13)</f>
        <v>67.7837837837838</v>
      </c>
      <c r="I14" s="2" t="s">
        <v>732</v>
      </c>
    </row>
    <row r="15" customFormat="false" ht="15" hidden="false" customHeight="false" outlineLevel="0" collapsed="false">
      <c r="A15" s="3" t="s">
        <v>733</v>
      </c>
      <c r="B15" s="3"/>
      <c r="C15" s="3"/>
      <c r="D15" s="3"/>
      <c r="E15" s="3"/>
      <c r="F15" s="3"/>
      <c r="G15" s="3"/>
      <c r="H15" s="3"/>
      <c r="I15" s="3"/>
    </row>
    <row r="16" customFormat="false" ht="35.05" hidden="false" customHeight="false" outlineLevel="0" collapsed="false">
      <c r="A16" s="40" t="s">
        <v>734</v>
      </c>
      <c r="B16" s="66" t="n">
        <v>0</v>
      </c>
      <c r="C16" s="66" t="n">
        <v>0.05</v>
      </c>
      <c r="D16" s="66" t="n">
        <v>0.15</v>
      </c>
      <c r="E16" s="66" t="n">
        <v>0</v>
      </c>
      <c r="F16" s="66" t="n">
        <v>0</v>
      </c>
      <c r="G16" s="66" t="n">
        <v>-0.05</v>
      </c>
      <c r="H16" s="66" t="n">
        <v>-0.05</v>
      </c>
      <c r="I16" s="65" t="s">
        <v>735</v>
      </c>
    </row>
    <row r="17" customFormat="false" ht="23.85" hidden="false" customHeight="false" outlineLevel="0" collapsed="false">
      <c r="A17" s="40" t="s">
        <v>736</v>
      </c>
      <c r="B17" s="67" t="n">
        <f aca="false">ROUND((B9/'Executive Summary'!$B$6)^$C$45-1,2)</f>
        <v>0.15</v>
      </c>
      <c r="C17" s="67" t="n">
        <f aca="false">ROUND((C9/'Executive Summary'!$B$6)^$C$45-1,2)</f>
        <v>0.13</v>
      </c>
      <c r="D17" s="67" t="n">
        <f aca="false">ROUND((D9/'Executive Summary'!$B$6)^$C$45-1,2)</f>
        <v>0.23</v>
      </c>
      <c r="E17" s="67" t="n">
        <f aca="false">ROUND((E9/'Executive Summary'!$B$6)^$C$45-1,2)</f>
        <v>0.15</v>
      </c>
      <c r="F17" s="67" t="n">
        <f aca="false">ROUND((F9/'Executive Summary'!$B$6)^$C$45-1,2)</f>
        <v>-0.01</v>
      </c>
      <c r="G17" s="67" t="n">
        <f aca="false">ROUND((G9/'Executive Summary'!$B$6)^$C$45-1,2)</f>
        <v>0.16</v>
      </c>
      <c r="H17" s="67" t="n">
        <f aca="false">ROUND((H9/'Executive Summary'!$B$6)^$C$45-1,2)</f>
        <v>-0.03</v>
      </c>
      <c r="I17" s="65" t="s">
        <v>737</v>
      </c>
    </row>
    <row r="18" customFormat="false" ht="23.85" hidden="false" customHeight="false" outlineLevel="0" collapsed="false">
      <c r="A18" s="40" t="s">
        <v>738</v>
      </c>
      <c r="B18" s="66" t="n">
        <v>-0.05</v>
      </c>
      <c r="C18" s="66" t="n">
        <v>-0.05</v>
      </c>
      <c r="D18" s="66" t="n">
        <v>0</v>
      </c>
      <c r="E18" s="66" t="n">
        <v>0</v>
      </c>
      <c r="F18" s="66" t="n">
        <v>0</v>
      </c>
      <c r="G18" s="66" t="n">
        <v>-0.05</v>
      </c>
      <c r="H18" s="66" t="n">
        <v>-0.05</v>
      </c>
      <c r="I18" s="65" t="s">
        <v>739</v>
      </c>
    </row>
    <row r="19" customFormat="false" ht="23.85" hidden="false" customHeight="false" outlineLevel="0" collapsed="false">
      <c r="A19" s="40" t="s">
        <v>740</v>
      </c>
      <c r="B19" s="66" t="n">
        <v>-0.1</v>
      </c>
      <c r="C19" s="66" t="n">
        <v>0.1</v>
      </c>
      <c r="D19" s="66" t="n">
        <v>0</v>
      </c>
      <c r="E19" s="66" t="n">
        <v>-0.1</v>
      </c>
      <c r="F19" s="66" t="n">
        <v>0.1</v>
      </c>
      <c r="G19" s="66" t="n">
        <v>0.1</v>
      </c>
      <c r="H19" s="66" t="n">
        <v>0.05</v>
      </c>
      <c r="I19" s="65" t="s">
        <v>741</v>
      </c>
    </row>
    <row r="20" customFormat="false" ht="23.85" hidden="false" customHeight="false" outlineLevel="0" collapsed="false">
      <c r="A20" s="40" t="s">
        <v>742</v>
      </c>
      <c r="B20" s="66" t="n">
        <v>-0.05</v>
      </c>
      <c r="C20" s="66" t="n">
        <v>0</v>
      </c>
      <c r="D20" s="66" t="n">
        <v>-0.05</v>
      </c>
      <c r="E20" s="66" t="n">
        <v>0</v>
      </c>
      <c r="F20" s="66" t="n">
        <v>0.05</v>
      </c>
      <c r="G20" s="66" t="n">
        <v>0.05</v>
      </c>
      <c r="H20" s="66" t="n">
        <v>0.05</v>
      </c>
      <c r="I20" s="65" t="s">
        <v>743</v>
      </c>
    </row>
    <row r="21" customFormat="false" ht="23.85" hidden="false" customHeight="false" outlineLevel="0" collapsed="false">
      <c r="A21" s="40" t="s">
        <v>744</v>
      </c>
      <c r="B21" s="66" t="n">
        <v>-0.1</v>
      </c>
      <c r="C21" s="66" t="n">
        <v>-0.05</v>
      </c>
      <c r="D21" s="66" t="n">
        <v>-0.1</v>
      </c>
      <c r="E21" s="66" t="n">
        <v>0.05</v>
      </c>
      <c r="F21" s="66" t="n">
        <v>0</v>
      </c>
      <c r="G21" s="66" t="n">
        <v>-0.1</v>
      </c>
      <c r="H21" s="66" t="n">
        <v>0</v>
      </c>
      <c r="I21" s="65" t="s">
        <v>745</v>
      </c>
    </row>
    <row r="22" customFormat="false" ht="15" hidden="false" customHeight="false" outlineLevel="0" collapsed="false">
      <c r="A22" s="40" t="s">
        <v>746</v>
      </c>
      <c r="B22" s="66" t="n">
        <v>0</v>
      </c>
      <c r="C22" s="66" t="n">
        <v>0</v>
      </c>
      <c r="D22" s="66" t="n">
        <v>0</v>
      </c>
      <c r="E22" s="66" t="n">
        <v>0</v>
      </c>
      <c r="F22" s="66" t="n">
        <v>0</v>
      </c>
      <c r="G22" s="66" t="n">
        <v>0</v>
      </c>
      <c r="H22" s="66" t="n">
        <v>0</v>
      </c>
      <c r="I22" s="65" t="s">
        <v>747</v>
      </c>
    </row>
    <row r="23" customFormat="false" ht="23.85" hidden="false" customHeight="false" outlineLevel="0" collapsed="false">
      <c r="A23" s="40" t="s">
        <v>127</v>
      </c>
      <c r="B23" s="66" t="n">
        <v>0</v>
      </c>
      <c r="C23" s="66" t="n">
        <v>0</v>
      </c>
      <c r="D23" s="66" t="n">
        <v>0.05</v>
      </c>
      <c r="E23" s="66" t="n">
        <v>0</v>
      </c>
      <c r="F23" s="66" t="n">
        <v>0</v>
      </c>
      <c r="G23" s="66" t="n">
        <v>-0.05</v>
      </c>
      <c r="H23" s="66" t="n">
        <v>-0.05</v>
      </c>
      <c r="I23" s="65" t="s">
        <v>748</v>
      </c>
    </row>
    <row r="24" customFormat="false" ht="23.85" hidden="false" customHeight="false" outlineLevel="0" collapsed="false">
      <c r="A24" s="40" t="s">
        <v>749</v>
      </c>
      <c r="B24" s="66" t="n">
        <v>0.05</v>
      </c>
      <c r="C24" s="66" t="n">
        <v>0</v>
      </c>
      <c r="D24" s="66" t="n">
        <v>0.05</v>
      </c>
      <c r="E24" s="66" t="n">
        <v>-0.05</v>
      </c>
      <c r="F24" s="66" t="n">
        <v>0</v>
      </c>
      <c r="G24" s="66" t="n">
        <v>0.05</v>
      </c>
      <c r="H24" s="66" t="n">
        <v>0</v>
      </c>
      <c r="I24" s="65" t="s">
        <v>750</v>
      </c>
    </row>
    <row r="25" customFormat="false" ht="15" hidden="false" customHeight="false" outlineLevel="0" collapsed="false">
      <c r="A25" s="40" t="s">
        <v>751</v>
      </c>
      <c r="B25" s="66" t="n">
        <v>0</v>
      </c>
      <c r="C25" s="66" t="n">
        <v>0</v>
      </c>
      <c r="D25" s="66" t="n">
        <v>0</v>
      </c>
      <c r="E25" s="66" t="n">
        <v>0</v>
      </c>
      <c r="F25" s="66" t="n">
        <v>0</v>
      </c>
      <c r="G25" s="66" t="n">
        <v>0</v>
      </c>
      <c r="H25" s="66" t="n">
        <v>0</v>
      </c>
      <c r="I25" s="65" t="s">
        <v>752</v>
      </c>
    </row>
    <row r="26" customFormat="false" ht="23.85" hidden="false" customHeight="false" outlineLevel="0" collapsed="false">
      <c r="A26" s="40" t="s">
        <v>753</v>
      </c>
      <c r="B26" s="66" t="n">
        <v>-0.05</v>
      </c>
      <c r="C26" s="66" t="n">
        <v>0</v>
      </c>
      <c r="D26" s="66" t="n">
        <v>-0.1</v>
      </c>
      <c r="E26" s="66" t="n">
        <v>0</v>
      </c>
      <c r="F26" s="66" t="n">
        <v>0</v>
      </c>
      <c r="G26" s="66" t="n">
        <v>0</v>
      </c>
      <c r="H26" s="66" t="n">
        <v>0</v>
      </c>
      <c r="I26" s="65" t="s">
        <v>754</v>
      </c>
    </row>
    <row r="27" customFormat="false" ht="23.85" hidden="false" customHeight="false" outlineLevel="0" collapsed="false">
      <c r="A27" s="40" t="s">
        <v>755</v>
      </c>
      <c r="B27" s="66" t="n">
        <v>0.15</v>
      </c>
      <c r="C27" s="66" t="n">
        <v>0</v>
      </c>
      <c r="D27" s="66" t="n">
        <v>0</v>
      </c>
      <c r="E27" s="66" t="n">
        <v>0.08</v>
      </c>
      <c r="F27" s="66" t="n">
        <v>0</v>
      </c>
      <c r="G27" s="66" t="n">
        <v>0</v>
      </c>
      <c r="H27" s="66" t="n">
        <v>0</v>
      </c>
      <c r="I27" s="65" t="s">
        <v>756</v>
      </c>
    </row>
    <row r="28" customFormat="false" ht="15" hidden="false" customHeight="false" outlineLevel="0" collapsed="false">
      <c r="A28" s="19" t="s">
        <v>757</v>
      </c>
      <c r="B28" s="68" t="n">
        <f aca="false">SUM(B16:B27)</f>
        <v>0</v>
      </c>
      <c r="C28" s="68" t="n">
        <f aca="false">SUM(C16:C27)</f>
        <v>0.18</v>
      </c>
      <c r="D28" s="68" t="n">
        <f aca="false">SUM(D16:D27)</f>
        <v>0.23</v>
      </c>
      <c r="E28" s="68" t="n">
        <f aca="false">SUM(E16:E27)</f>
        <v>0.13</v>
      </c>
      <c r="F28" s="68" t="n">
        <f aca="false">SUM(F16:F27)</f>
        <v>0.14</v>
      </c>
      <c r="G28" s="68" t="n">
        <f aca="false">SUM(G16:G27)</f>
        <v>0.11</v>
      </c>
      <c r="H28" s="68" t="n">
        <f aca="false">SUM(H16:H27)</f>
        <v>-0.08</v>
      </c>
      <c r="I28" s="2" t="s">
        <v>758</v>
      </c>
    </row>
    <row r="29" customFormat="false" ht="15" hidden="false" customHeight="false" outlineLevel="0" collapsed="false">
      <c r="A29" s="19" t="s">
        <v>759</v>
      </c>
      <c r="B29" s="69" t="n">
        <f aca="false">B14*(1+B28)</f>
        <v>76.3250883392226</v>
      </c>
      <c r="C29" s="69" t="n">
        <f aca="false">C14*(1+C28)</f>
        <v>69.03</v>
      </c>
      <c r="D29" s="69" t="n">
        <f aca="false">D14*(1+D28)</f>
        <v>49.4638069705094</v>
      </c>
      <c r="E29" s="69" t="n">
        <f aca="false">E14*(1+E28)</f>
        <v>61.3653352876511</v>
      </c>
      <c r="F29" s="69" t="n">
        <f aca="false">F14*(1+F28)</f>
        <v>47.5904774647887</v>
      </c>
      <c r="G29" s="69" t="n">
        <f aca="false">G14*(1+G28)</f>
        <v>83.25</v>
      </c>
      <c r="H29" s="69" t="n">
        <f aca="false">H14*(1+H28)</f>
        <v>62.3610810810811</v>
      </c>
      <c r="I29" s="2" t="s">
        <v>760</v>
      </c>
    </row>
    <row r="31" customFormat="false" ht="15" hidden="false" customHeight="false" outlineLevel="0" collapsed="false">
      <c r="A31" s="3" t="s">
        <v>761</v>
      </c>
      <c r="B31" s="3"/>
      <c r="C31" s="3"/>
      <c r="D31" s="3"/>
      <c r="E31" s="3"/>
      <c r="F31" s="3"/>
      <c r="G31" s="3"/>
      <c r="H31" s="3"/>
      <c r="I31" s="3"/>
    </row>
    <row r="32" customFormat="false" ht="15" hidden="false" customHeight="false" outlineLevel="0" collapsed="false">
      <c r="A32" s="40" t="s">
        <v>762</v>
      </c>
      <c r="B32" s="70" t="n">
        <v>76.33</v>
      </c>
      <c r="C32" s="70" t="n">
        <v>58.5</v>
      </c>
      <c r="D32" s="70" t="n">
        <v>40.21</v>
      </c>
      <c r="E32" s="70" t="n">
        <v>54.3</v>
      </c>
      <c r="F32" s="70" t="n">
        <v>41.75</v>
      </c>
      <c r="G32" s="70" t="n">
        <v>75</v>
      </c>
      <c r="H32" s="70" t="n">
        <v>67.78</v>
      </c>
    </row>
    <row r="33" customFormat="false" ht="15" hidden="false" customHeight="false" outlineLevel="0" collapsed="false">
      <c r="A33" s="40" t="s">
        <v>763</v>
      </c>
      <c r="B33" s="13" t="n">
        <f aca="false">ROUND(B14,2)-B32</f>
        <v>0</v>
      </c>
      <c r="C33" s="13" t="n">
        <f aca="false">ROUND(C14,2)-C32</f>
        <v>0</v>
      </c>
      <c r="D33" s="13" t="n">
        <f aca="false">ROUND(D14,2)-D32</f>
        <v>0</v>
      </c>
      <c r="E33" s="13" t="n">
        <f aca="false">ROUND(E14,2)-E32</f>
        <v>0.0100000000000051</v>
      </c>
      <c r="F33" s="13" t="n">
        <f aca="false">ROUND(F14,2)-F32</f>
        <v>0</v>
      </c>
      <c r="G33" s="13" t="n">
        <f aca="false">ROUND(G14,2)-G32</f>
        <v>0</v>
      </c>
      <c r="H33" s="13" t="n">
        <f aca="false">ROUND(H14,2)-H32</f>
        <v>0</v>
      </c>
      <c r="I33" s="65" t="s">
        <v>764</v>
      </c>
    </row>
    <row r="34" customFormat="false" ht="15" hidden="false" customHeight="false" outlineLevel="0" collapsed="false">
      <c r="A34" s="40" t="s">
        <v>765</v>
      </c>
      <c r="B34" s="70" t="n">
        <v>76.33</v>
      </c>
      <c r="C34" s="70" t="n">
        <v>69.03</v>
      </c>
      <c r="D34" s="70" t="n">
        <v>49.46</v>
      </c>
      <c r="E34" s="70" t="n">
        <v>61.36</v>
      </c>
      <c r="F34" s="70" t="n">
        <v>47.59</v>
      </c>
      <c r="G34" s="70" t="n">
        <v>83.25</v>
      </c>
      <c r="H34" s="70" t="n">
        <v>62.36</v>
      </c>
    </row>
    <row r="35" customFormat="false" ht="23.85" hidden="false" customHeight="false" outlineLevel="0" collapsed="false">
      <c r="A35" s="40" t="s">
        <v>766</v>
      </c>
      <c r="B35" s="13" t="n">
        <f aca="false">ROUND(B29,2)-B34</f>
        <v>0</v>
      </c>
      <c r="C35" s="13" t="n">
        <f aca="false">ROUND(C29,2)-C34</f>
        <v>0</v>
      </c>
      <c r="D35" s="13" t="n">
        <f aca="false">ROUND(D29,2)-D34</f>
        <v>0</v>
      </c>
      <c r="E35" s="13" t="n">
        <f aca="false">ROUND(E29,2)-E34</f>
        <v>0.00999999999999801</v>
      </c>
      <c r="F35" s="13" t="n">
        <f aca="false">ROUND(F29,2)-F34</f>
        <v>0</v>
      </c>
      <c r="G35" s="13" t="n">
        <f aca="false">ROUND(G29,2)-G34</f>
        <v>0</v>
      </c>
      <c r="H35" s="13" t="n">
        <f aca="false">ROUND(H29,2)-H34</f>
        <v>0</v>
      </c>
      <c r="I35" s="65" t="s">
        <v>767</v>
      </c>
    </row>
    <row r="37" customFormat="false" ht="15" hidden="false" customHeight="false" outlineLevel="0" collapsed="false">
      <c r="A37" s="3" t="s">
        <v>768</v>
      </c>
      <c r="B37" s="3"/>
      <c r="C37" s="3"/>
      <c r="D37" s="3"/>
      <c r="E37" s="3"/>
      <c r="F37" s="3"/>
      <c r="G37" s="3"/>
      <c r="H37" s="3"/>
      <c r="I37" s="3"/>
    </row>
    <row r="38" customFormat="false" ht="15" hidden="false" customHeight="false" outlineLevel="0" collapsed="false">
      <c r="A38" s="40" t="s">
        <v>132</v>
      </c>
      <c r="B38" s="52" t="n">
        <f aca="false">'Comparable Properties'!R5</f>
        <v>1</v>
      </c>
      <c r="C38" s="52" t="n">
        <f aca="false">'Comparable Properties'!R7</f>
        <v>2</v>
      </c>
      <c r="D38" s="52" t="n">
        <f aca="false">'Comparable Properties'!R12</f>
        <v>2</v>
      </c>
      <c r="E38" s="52" t="n">
        <f aca="false">'Comparable Properties'!R15</f>
        <v>3</v>
      </c>
      <c r="F38" s="52" t="n">
        <f aca="false">'Comparable Properties'!R14</f>
        <v>2</v>
      </c>
      <c r="G38" s="52" t="n">
        <f aca="false">'Comparable Properties'!R19</f>
        <v>3</v>
      </c>
      <c r="H38" s="52" t="n">
        <f aca="false">'Comparable Properties'!R25</f>
        <v>3</v>
      </c>
    </row>
    <row r="39" customFormat="false" ht="27.75" hidden="false" customHeight="true" outlineLevel="0" collapsed="false">
      <c r="A39" s="40" t="s">
        <v>769</v>
      </c>
      <c r="B39" s="37" t="s">
        <v>770</v>
      </c>
      <c r="C39" s="37" t="s">
        <v>770</v>
      </c>
      <c r="D39" s="37" t="s">
        <v>771</v>
      </c>
      <c r="E39" s="37" t="s">
        <v>770</v>
      </c>
      <c r="F39" s="37" t="s">
        <v>772</v>
      </c>
      <c r="G39" s="37" t="s">
        <v>770</v>
      </c>
      <c r="H39" s="37" t="s">
        <v>773</v>
      </c>
      <c r="I39" s="65" t="s">
        <v>774</v>
      </c>
    </row>
    <row r="40" customFormat="false" ht="15" hidden="false" customHeight="false" outlineLevel="0" collapsed="false">
      <c r="A40" s="40" t="s">
        <v>775</v>
      </c>
      <c r="B40" s="52" t="n">
        <f aca="false">'Comparable Properties'!Q5</f>
        <v>3</v>
      </c>
      <c r="C40" s="52" t="n">
        <f aca="false">'Comparable Properties'!Q7</f>
        <v>3</v>
      </c>
      <c r="D40" s="52" t="n">
        <f aca="false">'Comparable Properties'!Q12</f>
        <v>2</v>
      </c>
      <c r="E40" s="52" t="n">
        <f aca="false">'Comparable Properties'!Q15</f>
        <v>3</v>
      </c>
      <c r="F40" s="52" t="n">
        <f aca="false">'Comparable Properties'!Q14</f>
        <v>2</v>
      </c>
      <c r="G40" s="52" t="n">
        <f aca="false">'Comparable Properties'!Q19</f>
        <v>2</v>
      </c>
      <c r="H40" s="52" t="n">
        <f aca="false">'Comparable Properties'!Q25</f>
        <v>2</v>
      </c>
    </row>
    <row r="41" customFormat="false" ht="15" hidden="false" customHeight="false" outlineLevel="0" collapsed="false">
      <c r="A41" s="40" t="s">
        <v>776</v>
      </c>
      <c r="B41" s="52" t="str">
        <f aca="false">'Comparable Properties'!P5</f>
        <v>B</v>
      </c>
      <c r="C41" s="52" t="str">
        <f aca="false">'Comparable Properties'!P7</f>
        <v>B</v>
      </c>
      <c r="D41" s="52" t="str">
        <f aca="false">'Comparable Properties'!P12</f>
        <v>B</v>
      </c>
      <c r="E41" s="52" t="str">
        <f aca="false">'Comparable Properties'!P15</f>
        <v>B</v>
      </c>
      <c r="F41" s="52" t="str">
        <f aca="false">'Comparable Properties'!P14</f>
        <v>C</v>
      </c>
      <c r="G41" s="52" t="str">
        <f aca="false">'Comparable Properties'!P19</f>
        <v>B</v>
      </c>
      <c r="H41" s="52" t="str">
        <f aca="false">'Comparable Properties'!P25</f>
        <v>B (conflict)</v>
      </c>
    </row>
    <row r="44" customFormat="false" ht="15" hidden="false" customHeight="false" outlineLevel="0" collapsed="false">
      <c r="A44" s="3" t="s">
        <v>777</v>
      </c>
      <c r="B44" s="3"/>
      <c r="C44" s="3"/>
      <c r="D44" s="3"/>
      <c r="E44" s="3"/>
      <c r="F44" s="3"/>
      <c r="G44" s="3"/>
      <c r="H44" s="3"/>
      <c r="I44" s="3"/>
    </row>
    <row r="45" customFormat="false" ht="15" hidden="false" customHeight="false" outlineLevel="0" collapsed="false">
      <c r="A45" s="40" t="s">
        <v>778</v>
      </c>
      <c r="C45" s="71" t="n">
        <v>0.15</v>
      </c>
      <c r="D45" s="2" t="s">
        <v>779</v>
      </c>
    </row>
    <row r="46" customFormat="false" ht="15" hidden="false" customHeight="false" outlineLevel="0" collapsed="false">
      <c r="A46" s="40" t="s">
        <v>780</v>
      </c>
      <c r="C46" s="72" t="n">
        <v>0.5</v>
      </c>
      <c r="D46" s="2" t="s">
        <v>781</v>
      </c>
    </row>
    <row r="47" customFormat="false" ht="15" hidden="false" customHeight="false" outlineLevel="0" collapsed="false">
      <c r="A47" s="40" t="s">
        <v>782</v>
      </c>
      <c r="C47" s="57" t="n">
        <v>1000</v>
      </c>
      <c r="D47" s="2" t="s">
        <v>783</v>
      </c>
    </row>
    <row r="48" customFormat="false" ht="15" hidden="false" customHeight="false" outlineLevel="0" collapsed="false">
      <c r="A48" s="40" t="s">
        <v>784</v>
      </c>
      <c r="C48" s="57" t="n">
        <v>1000</v>
      </c>
      <c r="D48" s="2" t="s">
        <v>783</v>
      </c>
    </row>
    <row r="49" customFormat="false" ht="15" hidden="false" customHeight="false" outlineLevel="0" collapsed="false">
      <c r="A49" s="40" t="s">
        <v>785</v>
      </c>
      <c r="C49" s="53" t="n">
        <v>0.5</v>
      </c>
      <c r="D49" s="2" t="s">
        <v>786</v>
      </c>
    </row>
    <row r="51" customFormat="false" ht="15" hidden="false" customHeight="false" outlineLevel="0" collapsed="false">
      <c r="A51" s="3" t="s">
        <v>787</v>
      </c>
      <c r="B51" s="3"/>
      <c r="C51" s="3"/>
      <c r="D51" s="3"/>
      <c r="E51" s="3"/>
      <c r="F51" s="3"/>
      <c r="G51" s="3"/>
      <c r="H51" s="3"/>
      <c r="I51" s="3"/>
    </row>
    <row r="52" customFormat="false" ht="15" hidden="false" customHeight="false" outlineLevel="0" collapsed="false">
      <c r="A52" s="4" t="s">
        <v>788</v>
      </c>
      <c r="B52" s="4" t="s">
        <v>136</v>
      </c>
      <c r="C52" s="4" t="s">
        <v>789</v>
      </c>
    </row>
    <row r="53" customFormat="false" ht="15" hidden="false" customHeight="false" outlineLevel="0" collapsed="false">
      <c r="A53" s="7" t="s">
        <v>332</v>
      </c>
      <c r="B53" s="51" t="n">
        <f aca="false">'Comparable Properties'!B37</f>
        <v>700000</v>
      </c>
      <c r="C53" s="51" t="n">
        <f aca="false">'Comparable Properties'!B38</f>
        <v>250000</v>
      </c>
    </row>
    <row r="54" customFormat="false" ht="15" hidden="false" customHeight="false" outlineLevel="0" collapsed="false">
      <c r="A54" s="7" t="s">
        <v>790</v>
      </c>
      <c r="B54" s="46" t="n">
        <f aca="false">'Comparable Properties'!$C$31</f>
        <v>10</v>
      </c>
      <c r="C54" s="46" t="n">
        <f aca="false">'Comparable Properties'!$C$31</f>
        <v>10</v>
      </c>
    </row>
    <row r="55" customFormat="false" ht="15" hidden="false" customHeight="false" outlineLevel="0" collapsed="false">
      <c r="A55" s="7" t="s">
        <v>9</v>
      </c>
      <c r="B55" s="49" t="n">
        <f aca="false">B8</f>
        <v>2830</v>
      </c>
      <c r="C55" s="49" t="n">
        <f aca="false">E8</f>
        <v>2729</v>
      </c>
    </row>
    <row r="56" customFormat="false" ht="15" hidden="false" customHeight="false" outlineLevel="0" collapsed="false">
      <c r="A56" s="7" t="s">
        <v>333</v>
      </c>
      <c r="B56" s="13" t="n">
        <f aca="false">B53/B54/B55</f>
        <v>24.7349823321555</v>
      </c>
      <c r="C56" s="13" t="n">
        <f aca="false">C53/C54/C55</f>
        <v>9.16086478563577</v>
      </c>
    </row>
    <row r="57" customFormat="false" ht="15" hidden="false" customHeight="false" outlineLevel="0" collapsed="false">
      <c r="A57" s="7" t="s">
        <v>791</v>
      </c>
      <c r="B57" s="13" t="n">
        <f aca="false">B56*$C$46</f>
        <v>12.3674911660777</v>
      </c>
      <c r="C57" s="13" t="n">
        <f aca="false">C56*$C$46</f>
        <v>4.58043239281788</v>
      </c>
    </row>
    <row r="58" customFormat="false" ht="15" hidden="false" customHeight="false" outlineLevel="0" collapsed="false">
      <c r="A58" s="7" t="s">
        <v>792</v>
      </c>
      <c r="B58" s="15" t="n">
        <f aca="false">B57/B14</f>
        <v>0.162037037037037</v>
      </c>
      <c r="C58" s="15" t="n">
        <f aca="false">C57/E14</f>
        <v>0.0843454790823212</v>
      </c>
    </row>
    <row r="59" customFormat="false" ht="15" hidden="false" customHeight="false" outlineLevel="0" collapsed="false">
      <c r="A59" s="7" t="s">
        <v>793</v>
      </c>
      <c r="B59" s="15" t="n">
        <f aca="false">B27</f>
        <v>0.15</v>
      </c>
      <c r="C59" s="15" t="n">
        <f aca="false">E27</f>
        <v>0.08</v>
      </c>
    </row>
    <row r="60" customFormat="false" ht="15" hidden="false" customHeight="false" outlineLevel="0" collapsed="false">
      <c r="A60" s="7" t="s">
        <v>794</v>
      </c>
      <c r="B60" s="15" t="n">
        <f aca="false">B58-B59</f>
        <v>0.012037037037037</v>
      </c>
      <c r="C60" s="15" t="n">
        <f aca="false">C58-C59</f>
        <v>0.00434547908232119</v>
      </c>
    </row>
    <row r="61" customFormat="false" ht="15" hidden="false" customHeight="false" outlineLevel="0" collapsed="false">
      <c r="A61" s="7" t="s">
        <v>795</v>
      </c>
      <c r="B61" s="13" t="n">
        <f aca="false">B14*(1+B28-B27+ROUND(B58,2))</f>
        <v>77.0883392226149</v>
      </c>
      <c r="C61" s="13" t="n">
        <f aca="false">E14*(1+E28-E27+ROUND(C58,2))</f>
        <v>61.3653352876511</v>
      </c>
    </row>
    <row r="63" customFormat="false" ht="40.5" hidden="false" customHeight="true" outlineLevel="0" collapsed="false">
      <c r="A63" s="73" t="s">
        <v>796</v>
      </c>
      <c r="B63" s="73"/>
      <c r="C63" s="73"/>
      <c r="D63" s="73"/>
      <c r="E63" s="73"/>
      <c r="F63" s="73"/>
      <c r="G63" s="73"/>
      <c r="H63" s="73"/>
      <c r="I63" s="73"/>
    </row>
    <row r="65" customFormat="false" ht="15" hidden="false" customHeight="false" outlineLevel="0" collapsed="false">
      <c r="A65" s="3" t="s">
        <v>355</v>
      </c>
      <c r="B65" s="3"/>
      <c r="C65" s="3"/>
      <c r="D65" s="3"/>
      <c r="E65" s="3"/>
      <c r="F65" s="3"/>
      <c r="G65" s="3"/>
      <c r="H65" s="3"/>
      <c r="I65" s="3"/>
    </row>
    <row r="66" customFormat="false" ht="40.5" hidden="false" customHeight="true" outlineLevel="0" collapsed="false">
      <c r="A66" s="8" t="s">
        <v>356</v>
      </c>
      <c r="B66" s="8"/>
      <c r="C66" s="8"/>
      <c r="D66" s="8"/>
      <c r="E66" s="8"/>
      <c r="F66" s="8"/>
      <c r="G66" s="8"/>
      <c r="H66" s="8"/>
      <c r="I66" s="8"/>
    </row>
    <row r="67" customFormat="false" ht="54" hidden="false" customHeight="true" outlineLevel="0" collapsed="false">
      <c r="A67" s="8" t="s">
        <v>357</v>
      </c>
      <c r="B67" s="8"/>
      <c r="C67" s="8"/>
      <c r="D67" s="8"/>
      <c r="E67" s="8"/>
      <c r="F67" s="8"/>
      <c r="G67" s="8"/>
      <c r="H67" s="8"/>
      <c r="I67" s="8"/>
    </row>
    <row r="68" customFormat="false" ht="40.5" hidden="false" customHeight="true" outlineLevel="0" collapsed="false">
      <c r="A68" s="8" t="s">
        <v>358</v>
      </c>
      <c r="B68" s="8"/>
      <c r="C68" s="8"/>
      <c r="D68" s="8"/>
      <c r="E68" s="8"/>
      <c r="F68" s="8"/>
      <c r="G68" s="8"/>
      <c r="H68" s="8"/>
      <c r="I68" s="8"/>
    </row>
    <row r="69" customFormat="false" ht="27" hidden="false" customHeight="true" outlineLevel="0" collapsed="false">
      <c r="A69" s="8" t="s">
        <v>359</v>
      </c>
      <c r="B69" s="8"/>
      <c r="C69" s="8"/>
      <c r="D69" s="8"/>
      <c r="E69" s="8"/>
      <c r="F69" s="8"/>
      <c r="G69" s="8"/>
      <c r="H69" s="8"/>
      <c r="I69" s="8"/>
    </row>
  </sheetData>
  <mergeCells count="5">
    <mergeCell ref="A63:I63"/>
    <mergeCell ref="A66:I66"/>
    <mergeCell ref="A67:I67"/>
    <mergeCell ref="A68:I68"/>
    <mergeCell ref="A69:I6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6"/>
    <col collapsed="false" customWidth="true" hidden="false" outlineLevel="0" max="5" min="5" style="0" width="28"/>
    <col collapsed="false" customWidth="true" hidden="false" outlineLevel="0" max="7" min="6" style="0" width="16"/>
    <col collapsed="false" customWidth="true" hidden="false" outlineLevel="0" max="8" min="8" style="0" width="60"/>
    <col collapsed="false" customWidth="true" hidden="false" outlineLevel="0" max="9" min="9" style="0" width="12"/>
    <col collapsed="false" customWidth="true" hidden="false" outlineLevel="0" max="10" min="10" style="0" width="14"/>
  </cols>
  <sheetData>
    <row r="1" customFormat="false" ht="17.35" hidden="false" customHeight="false" outlineLevel="0" collapsed="false">
      <c r="A1" s="1" t="s">
        <v>797</v>
      </c>
    </row>
    <row r="2" customFormat="false" ht="15" hidden="false" customHeight="false" outlineLevel="0" collapsed="false">
      <c r="A2" s="2" t="s">
        <v>798</v>
      </c>
    </row>
    <row r="4" customFormat="false" ht="15" hidden="false" customHeight="false" outlineLevel="0" collapsed="false">
      <c r="A4" s="3" t="s">
        <v>799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" hidden="false" customHeight="false" outlineLevel="0" collapsed="false">
      <c r="A5" s="4" t="s">
        <v>132</v>
      </c>
      <c r="B5" s="4" t="s">
        <v>800</v>
      </c>
      <c r="C5" s="4" t="s">
        <v>801</v>
      </c>
    </row>
    <row r="6" customFormat="false" ht="15" hidden="false" customHeight="false" outlineLevel="0" collapsed="false">
      <c r="A6" s="36" t="n">
        <v>1</v>
      </c>
      <c r="B6" s="74" t="n">
        <v>3</v>
      </c>
      <c r="C6" s="7" t="s">
        <v>802</v>
      </c>
    </row>
    <row r="7" customFormat="false" ht="15" hidden="false" customHeight="false" outlineLevel="0" collapsed="false">
      <c r="A7" s="36" t="n">
        <v>2</v>
      </c>
      <c r="B7" s="74" t="n">
        <v>2</v>
      </c>
      <c r="C7" s="7" t="s">
        <v>803</v>
      </c>
    </row>
    <row r="8" customFormat="false" ht="15" hidden="false" customHeight="false" outlineLevel="0" collapsed="false">
      <c r="A8" s="36" t="n">
        <v>3</v>
      </c>
      <c r="B8" s="74" t="n">
        <v>1</v>
      </c>
      <c r="C8" s="7" t="s">
        <v>804</v>
      </c>
    </row>
    <row r="10" customFormat="false" ht="15" hidden="false" customHeight="false" outlineLevel="0" collapsed="false">
      <c r="A10" s="4" t="s">
        <v>805</v>
      </c>
      <c r="B10" s="4" t="s">
        <v>806</v>
      </c>
      <c r="C10" s="4" t="s">
        <v>801</v>
      </c>
    </row>
    <row r="11" customFormat="false" ht="15" hidden="false" customHeight="false" outlineLevel="0" collapsed="false">
      <c r="A11" s="75" t="s">
        <v>771</v>
      </c>
      <c r="B11" s="74" t="n">
        <v>1.25</v>
      </c>
      <c r="C11" s="7" t="s">
        <v>807</v>
      </c>
    </row>
    <row r="12" customFormat="false" ht="15" hidden="false" customHeight="false" outlineLevel="0" collapsed="false">
      <c r="A12" s="75" t="s">
        <v>770</v>
      </c>
      <c r="B12" s="74" t="n">
        <v>1</v>
      </c>
      <c r="C12" s="7" t="s">
        <v>808</v>
      </c>
    </row>
    <row r="13" customFormat="false" ht="15" hidden="false" customHeight="false" outlineLevel="0" collapsed="false">
      <c r="A13" s="75" t="s">
        <v>773</v>
      </c>
      <c r="B13" s="74" t="n">
        <v>0.75</v>
      </c>
      <c r="C13" s="7" t="s">
        <v>809</v>
      </c>
    </row>
    <row r="14" customFormat="false" ht="15" hidden="false" customHeight="false" outlineLevel="0" collapsed="false">
      <c r="A14" s="75" t="s">
        <v>772</v>
      </c>
      <c r="B14" s="74" t="n">
        <v>0.5</v>
      </c>
      <c r="C14" s="7" t="s">
        <v>810</v>
      </c>
    </row>
    <row r="15" customFormat="false" ht="15" hidden="false" customHeight="false" outlineLevel="0" collapsed="false">
      <c r="A15" s="75" t="s">
        <v>811</v>
      </c>
      <c r="B15" s="74" t="n">
        <v>0.25</v>
      </c>
      <c r="C15" s="7" t="s">
        <v>812</v>
      </c>
    </row>
    <row r="16" customFormat="false" ht="15" hidden="false" customHeight="false" outlineLevel="0" collapsed="false">
      <c r="A16" s="2" t="s">
        <v>813</v>
      </c>
    </row>
    <row r="18" customFormat="false" ht="15" hidden="false" customHeight="false" outlineLevel="0" collapsed="false">
      <c r="A18" s="3" t="s">
        <v>814</v>
      </c>
      <c r="B18" s="3"/>
      <c r="C18" s="3"/>
      <c r="D18" s="3"/>
      <c r="E18" s="3"/>
      <c r="F18" s="3"/>
      <c r="G18" s="3"/>
      <c r="H18" s="3"/>
      <c r="I18" s="3"/>
      <c r="J18" s="3"/>
    </row>
    <row r="19" customFormat="false" ht="23.85" hidden="false" customHeight="false" outlineLevel="0" collapsed="false">
      <c r="A19" s="4" t="s">
        <v>62</v>
      </c>
      <c r="B19" s="4" t="s">
        <v>815</v>
      </c>
      <c r="C19" s="4" t="s">
        <v>816</v>
      </c>
      <c r="D19" s="4" t="s">
        <v>817</v>
      </c>
    </row>
    <row r="20" customFormat="false" ht="15" hidden="false" customHeight="false" outlineLevel="0" collapsed="false">
      <c r="A20" s="40" t="s">
        <v>818</v>
      </c>
      <c r="C20" s="54" t="n">
        <v>3</v>
      </c>
      <c r="D20" s="2" t="s">
        <v>819</v>
      </c>
    </row>
    <row r="21" customFormat="false" ht="15" hidden="false" customHeight="false" outlineLevel="0" collapsed="false">
      <c r="A21" s="7" t="s">
        <v>820</v>
      </c>
      <c r="B21" s="16" t="n">
        <f aca="false">MIN(Adjustments!$B$29:$H$29)</f>
        <v>47.5904774647887</v>
      </c>
      <c r="C21" s="16" t="n">
        <f aca="false">_xlfn.MINIFS(Adjustments!$B$29:$H$29,Adjustments!$B$40:$H$40,$C$20)</f>
        <v>61.3653352876511</v>
      </c>
      <c r="D21" s="70" t="n">
        <v>61.36</v>
      </c>
      <c r="E21" s="2" t="s">
        <v>821</v>
      </c>
    </row>
    <row r="22" customFormat="false" ht="15" hidden="false" customHeight="false" outlineLevel="0" collapsed="false">
      <c r="A22" s="7" t="s">
        <v>822</v>
      </c>
      <c r="B22" s="16" t="n">
        <f aca="false">MEDIAN(Adjustments!$B$29:$H$29)</f>
        <v>62.3610810810811</v>
      </c>
      <c r="C22" s="16" t="n">
        <f aca="false">AVERAGEIFS(Adjustments!$B$29:$H$29,Adjustments!$B$40:$H$40,$C$20)</f>
        <v>68.9068078756246</v>
      </c>
      <c r="D22" s="70" t="n">
        <v>68.91</v>
      </c>
      <c r="E22" s="2" t="s">
        <v>823</v>
      </c>
    </row>
    <row r="23" customFormat="false" ht="15" hidden="false" customHeight="false" outlineLevel="0" collapsed="false">
      <c r="A23" s="7" t="s">
        <v>824</v>
      </c>
      <c r="B23" s="16" t="n">
        <f aca="false">MAX(Adjustments!$B$29:$H$29)</f>
        <v>83.25</v>
      </c>
      <c r="C23" s="16" t="n">
        <f aca="false">_xlfn.MAXIFS(Adjustments!$B$29:$H$29,Adjustments!$B$40:$H$40,$C$20)</f>
        <v>76.3250883392226</v>
      </c>
      <c r="D23" s="70" t="n">
        <v>76.33</v>
      </c>
      <c r="E23" s="2" t="s">
        <v>825</v>
      </c>
    </row>
    <row r="24" customFormat="false" ht="15" hidden="false" customHeight="false" outlineLevel="0" collapsed="false">
      <c r="A24" s="7" t="s">
        <v>826</v>
      </c>
      <c r="B24" s="16" t="n">
        <f aca="false">AVERAGE(Adjustments!$B$29:$H$29)</f>
        <v>64.1979698776076</v>
      </c>
      <c r="D24" s="70" t="n">
        <v>64.2</v>
      </c>
      <c r="E24" s="2" t="s">
        <v>827</v>
      </c>
    </row>
    <row r="25" customFormat="false" ht="15" hidden="false" customHeight="false" outlineLevel="0" collapsed="false">
      <c r="A25" s="2" t="s">
        <v>828</v>
      </c>
    </row>
    <row r="27" customFormat="false" ht="15" hidden="false" customHeight="false" outlineLevel="0" collapsed="false">
      <c r="A27" s="3" t="s">
        <v>829</v>
      </c>
      <c r="B27" s="3"/>
      <c r="C27" s="3"/>
      <c r="D27" s="3"/>
      <c r="E27" s="3"/>
      <c r="F27" s="3"/>
      <c r="G27" s="3"/>
      <c r="H27" s="3"/>
      <c r="I27" s="3"/>
      <c r="J27" s="3"/>
    </row>
    <row r="28" customFormat="false" ht="15" hidden="false" customHeight="false" outlineLevel="0" collapsed="false">
      <c r="A28" s="4" t="s">
        <v>830</v>
      </c>
      <c r="B28" s="4" t="s">
        <v>831</v>
      </c>
      <c r="C28" s="4" t="s">
        <v>132</v>
      </c>
      <c r="D28" s="4" t="s">
        <v>832</v>
      </c>
      <c r="E28" s="4" t="s">
        <v>833</v>
      </c>
      <c r="F28" s="4" t="s">
        <v>834</v>
      </c>
      <c r="G28" s="4" t="s">
        <v>835</v>
      </c>
      <c r="H28" s="4" t="s">
        <v>836</v>
      </c>
      <c r="I28" s="4" t="s">
        <v>837</v>
      </c>
      <c r="J28" s="4" t="s">
        <v>838</v>
      </c>
    </row>
    <row r="29" customFormat="false" ht="15" hidden="false" customHeight="false" outlineLevel="0" collapsed="false">
      <c r="A29" s="50" t="str">
        <f aca="false">Adjustments!B6</f>
        <v>Former Coche Comedor (annual option)</v>
      </c>
      <c r="B29" s="16" t="n">
        <f aca="false">Adjustments!B29</f>
        <v>76.3250883392226</v>
      </c>
      <c r="C29" s="52" t="n">
        <f aca="false">Adjustments!B38</f>
        <v>1</v>
      </c>
      <c r="D29" s="76" t="n">
        <f aca="false">INDEX($B$6:$B$8,MATCH(C29,$A$6:$A$8,0))</f>
        <v>3</v>
      </c>
      <c r="E29" s="50" t="str">
        <f aca="false">Adjustments!B39</f>
        <v>Current B-grade ask</v>
      </c>
      <c r="F29" s="76" t="n">
        <f aca="false">INDEX($B$11:$B$15,MATCH(E29,$A$11:$A$15,0))</f>
        <v>1</v>
      </c>
      <c r="G29" s="52" t="n">
        <f aca="false">Adjustments!B40</f>
        <v>3</v>
      </c>
      <c r="H29" s="76" t="n">
        <f aca="false">D29*F29*G29</f>
        <v>9</v>
      </c>
      <c r="I29" s="15" t="n">
        <f aca="false">H29/$H$36</f>
        <v>0.315789473684211</v>
      </c>
      <c r="J29" s="13" t="n">
        <f aca="false">I29*B29</f>
        <v>24.102659475544</v>
      </c>
    </row>
    <row r="30" customFormat="false" ht="15" hidden="false" customHeight="false" outlineLevel="0" collapsed="false">
      <c r="A30" s="50" t="str">
        <f aca="false">Adjustments!C6</f>
        <v>11 Indian Wells Hwy, first floor</v>
      </c>
      <c r="B30" s="16" t="n">
        <f aca="false">Adjustments!C29</f>
        <v>69.03</v>
      </c>
      <c r="C30" s="52" t="n">
        <f aca="false">Adjustments!C38</f>
        <v>2</v>
      </c>
      <c r="D30" s="76" t="n">
        <f aca="false">INDEX($B$6:$B$8,MATCH(C30,$A$6:$A$8,0))</f>
        <v>2</v>
      </c>
      <c r="E30" s="50" t="str">
        <f aca="false">Adjustments!C39</f>
        <v>Current B-grade ask</v>
      </c>
      <c r="F30" s="76" t="n">
        <f aca="false">INDEX($B$11:$B$15,MATCH(E30,$A$11:$A$15,0))</f>
        <v>1</v>
      </c>
      <c r="G30" s="52" t="n">
        <f aca="false">Adjustments!C40</f>
        <v>3</v>
      </c>
      <c r="H30" s="76" t="n">
        <f aca="false">D30*F30*G30</f>
        <v>6</v>
      </c>
      <c r="I30" s="15" t="n">
        <f aca="false">H30/$H$36</f>
        <v>0.210526315789474</v>
      </c>
      <c r="J30" s="13" t="n">
        <f aca="false">I30*B30</f>
        <v>14.5326315789474</v>
      </c>
    </row>
    <row r="31" customFormat="false" ht="15" hidden="false" customHeight="false" outlineLevel="0" collapsed="false">
      <c r="A31" s="50" t="str">
        <f aca="false">Adjustments!D6</f>
        <v>2095 Montauk Hwy restaurant</v>
      </c>
      <c r="B31" s="16" t="n">
        <f aca="false">Adjustments!D29</f>
        <v>49.4638069705094</v>
      </c>
      <c r="C31" s="52" t="n">
        <f aca="false">Adjustments!D38</f>
        <v>2</v>
      </c>
      <c r="D31" s="76" t="n">
        <f aca="false">INDEX($B$6:$B$8,MATCH(C31,$A$6:$A$8,0))</f>
        <v>2</v>
      </c>
      <c r="E31" s="50" t="str">
        <f aca="false">Adjustments!D39</f>
        <v>Closed lease (unverified)</v>
      </c>
      <c r="F31" s="76" t="n">
        <f aca="false">INDEX($B$11:$B$15,MATCH(E31,$A$11:$A$15,0))</f>
        <v>1.25</v>
      </c>
      <c r="G31" s="52" t="n">
        <f aca="false">Adjustments!D40</f>
        <v>2</v>
      </c>
      <c r="H31" s="76" t="n">
        <f aca="false">D31*F31*G31</f>
        <v>5</v>
      </c>
      <c r="I31" s="15" t="n">
        <f aca="false">H31/$H$36</f>
        <v>0.175438596491228</v>
      </c>
      <c r="J31" s="13" t="n">
        <f aca="false">I31*B31</f>
        <v>8.67786087201919</v>
      </c>
    </row>
    <row r="32" customFormat="false" ht="15" hidden="false" customHeight="false" outlineLevel="0" collapsed="false">
      <c r="A32" s="50" t="str">
        <f aca="false">Adjustments!E6</f>
        <v>17 S Edison St restaurant</v>
      </c>
      <c r="B32" s="16" t="n">
        <f aca="false">Adjustments!E29</f>
        <v>61.3653352876511</v>
      </c>
      <c r="C32" s="52" t="n">
        <f aca="false">Adjustments!E38</f>
        <v>3</v>
      </c>
      <c r="D32" s="76" t="n">
        <f aca="false">INDEX($B$6:$B$8,MATCH(C32,$A$6:$A$8,0))</f>
        <v>1</v>
      </c>
      <c r="E32" s="50" t="str">
        <f aca="false">Adjustments!E39</f>
        <v>Current B-grade ask</v>
      </c>
      <c r="F32" s="76" t="n">
        <f aca="false">INDEX($B$11:$B$15,MATCH(E32,$A$11:$A$15,0))</f>
        <v>1</v>
      </c>
      <c r="G32" s="52" t="n">
        <f aca="false">Adjustments!E40</f>
        <v>3</v>
      </c>
      <c r="H32" s="76" t="n">
        <f aca="false">D32*F32*G32</f>
        <v>3</v>
      </c>
      <c r="I32" s="15" t="n">
        <f aca="false">H32/$H$36</f>
        <v>0.105263157894737</v>
      </c>
      <c r="J32" s="13" t="n">
        <f aca="false">I32*B32</f>
        <v>6.45950897764749</v>
      </c>
    </row>
    <row r="33" customFormat="false" ht="15" hidden="false" customHeight="false" outlineLevel="0" collapsed="false">
      <c r="A33" s="50" t="str">
        <f aca="false">Adjustments!F6</f>
        <v>249 Main St, Building B pop-up</v>
      </c>
      <c r="B33" s="16" t="n">
        <f aca="false">Adjustments!F29</f>
        <v>47.5904774647887</v>
      </c>
      <c r="C33" s="52" t="n">
        <f aca="false">Adjustments!F38</f>
        <v>2</v>
      </c>
      <c r="D33" s="76" t="n">
        <f aca="false">INDEX($B$6:$B$8,MATCH(C33,$A$6:$A$8,0))</f>
        <v>2</v>
      </c>
      <c r="E33" s="50" t="str">
        <f aca="false">Adjustments!F39</f>
        <v>Historical C-grade</v>
      </c>
      <c r="F33" s="76" t="n">
        <f aca="false">INDEX($B$11:$B$15,MATCH(E33,$A$11:$A$15,0))</f>
        <v>0.5</v>
      </c>
      <c r="G33" s="52" t="n">
        <f aca="false">Adjustments!F40</f>
        <v>2</v>
      </c>
      <c r="H33" s="76" t="n">
        <f aca="false">D33*F33*G33</f>
        <v>2</v>
      </c>
      <c r="I33" s="15" t="n">
        <f aca="false">H33/$H$36</f>
        <v>0.0701754385964912</v>
      </c>
      <c r="J33" s="13" t="n">
        <f aca="false">I33*B33</f>
        <v>3.33968262910798</v>
      </c>
    </row>
    <row r="34" customFormat="false" ht="15" hidden="false" customHeight="false" outlineLevel="0" collapsed="false">
      <c r="A34" s="50" t="str">
        <f aca="false">Adjustments!G6</f>
        <v>9 Railroad Ave</v>
      </c>
      <c r="B34" s="16" t="n">
        <f aca="false">Adjustments!G29</f>
        <v>83.25</v>
      </c>
      <c r="C34" s="52" t="n">
        <f aca="false">Adjustments!G38</f>
        <v>3</v>
      </c>
      <c r="D34" s="76" t="n">
        <f aca="false">INDEX($B$6:$B$8,MATCH(C34,$A$6:$A$8,0))</f>
        <v>1</v>
      </c>
      <c r="E34" s="50" t="str">
        <f aca="false">Adjustments!G39</f>
        <v>Current B-grade ask</v>
      </c>
      <c r="F34" s="76" t="n">
        <f aca="false">INDEX($B$11:$B$15,MATCH(E34,$A$11:$A$15,0))</f>
        <v>1</v>
      </c>
      <c r="G34" s="52" t="n">
        <f aca="false">Adjustments!G40</f>
        <v>2</v>
      </c>
      <c r="H34" s="76" t="n">
        <f aca="false">D34*F34*G34</f>
        <v>2</v>
      </c>
      <c r="I34" s="15" t="n">
        <f aca="false">H34/$H$36</f>
        <v>0.0701754385964912</v>
      </c>
      <c r="J34" s="13" t="n">
        <f aca="false">I34*B34</f>
        <v>5.8421052631579</v>
      </c>
    </row>
    <row r="35" customFormat="false" ht="15" hidden="false" customHeight="false" outlineLevel="0" collapsed="false">
      <c r="A35" s="50" t="str">
        <f aca="false">Adjustments!H6</f>
        <v>7 Hill St (inline)</v>
      </c>
      <c r="B35" s="16" t="n">
        <f aca="false">Adjustments!H29</f>
        <v>62.3610810810811</v>
      </c>
      <c r="C35" s="52" t="n">
        <f aca="false">Adjustments!H38</f>
        <v>3</v>
      </c>
      <c r="D35" s="76" t="n">
        <f aca="false">INDEX($B$6:$B$8,MATCH(C35,$A$6:$A$8,0))</f>
        <v>1</v>
      </c>
      <c r="E35" s="50" t="str">
        <f aca="false">Adjustments!H39</f>
        <v>B-grade ask with internal conflict</v>
      </c>
      <c r="F35" s="76" t="n">
        <f aca="false">INDEX($B$11:$B$15,MATCH(E35,$A$11:$A$15,0))</f>
        <v>0.75</v>
      </c>
      <c r="G35" s="52" t="n">
        <f aca="false">Adjustments!H40</f>
        <v>2</v>
      </c>
      <c r="H35" s="76" t="n">
        <f aca="false">D35*F35*G35</f>
        <v>1.5</v>
      </c>
      <c r="I35" s="15" t="n">
        <f aca="false">H35/$H$36</f>
        <v>0.0526315789473684</v>
      </c>
      <c r="J35" s="13" t="n">
        <f aca="false">I35*B35</f>
        <v>3.28216216216216</v>
      </c>
    </row>
    <row r="36" customFormat="false" ht="15" hidden="false" customHeight="false" outlineLevel="0" collapsed="false">
      <c r="A36" s="5" t="s">
        <v>839</v>
      </c>
      <c r="H36" s="77" t="n">
        <f aca="false">SUM(H29:H35)</f>
        <v>28.5</v>
      </c>
      <c r="I36" s="78" t="n">
        <f aca="false">SUM(I29:I35)</f>
        <v>1</v>
      </c>
      <c r="J36" s="63" t="n">
        <f aca="false">SUM(J29:J35)</f>
        <v>66.2366109585861</v>
      </c>
    </row>
    <row r="37" customFormat="false" ht="15" hidden="false" customHeight="false" outlineLevel="0" collapsed="false">
      <c r="A37" s="19" t="s">
        <v>840</v>
      </c>
      <c r="B37" s="79" t="n">
        <f aca="false">SUMPRODUCT(B29:B35,H29:H35)/H36</f>
        <v>66.2366109585861</v>
      </c>
      <c r="C37" s="2" t="s">
        <v>817</v>
      </c>
      <c r="D37" s="80" t="n">
        <v>66.24</v>
      </c>
      <c r="E37" s="20" t="n">
        <f aca="false">ROUND(B37,2)-D37</f>
        <v>0</v>
      </c>
      <c r="F37" s="2" t="s">
        <v>841</v>
      </c>
    </row>
    <row r="39" customFormat="false" ht="15" hidden="false" customHeight="false" outlineLevel="0" collapsed="false">
      <c r="A39" s="3" t="s">
        <v>842</v>
      </c>
      <c r="B39" s="3"/>
      <c r="C39" s="3"/>
      <c r="D39" s="3"/>
      <c r="E39" s="3"/>
      <c r="F39" s="3"/>
      <c r="G39" s="3"/>
      <c r="H39" s="3"/>
      <c r="I39" s="3"/>
      <c r="J39" s="3"/>
    </row>
    <row r="40" customFormat="false" ht="15" hidden="false" customHeight="false" outlineLevel="0" collapsed="false">
      <c r="A40" s="4" t="s">
        <v>843</v>
      </c>
      <c r="B40" s="4" t="s">
        <v>844</v>
      </c>
      <c r="C40" s="4" t="s">
        <v>845</v>
      </c>
      <c r="D40" s="4" t="s">
        <v>846</v>
      </c>
      <c r="E40" s="4" t="s">
        <v>817</v>
      </c>
      <c r="F40" s="4" t="s">
        <v>847</v>
      </c>
    </row>
    <row r="41" customFormat="false" ht="27.75" hidden="false" customHeight="true" outlineLevel="0" collapsed="false">
      <c r="A41" s="37" t="s">
        <v>848</v>
      </c>
      <c r="B41" s="16" t="n">
        <f aca="false">Adjustments!B14*(1+Adjustments!B28-Adjustments!B27)</f>
        <v>64.8763250883392</v>
      </c>
      <c r="C41" s="13" t="n">
        <f aca="false">B30</f>
        <v>69.03</v>
      </c>
      <c r="D41" s="13" t="n">
        <f aca="false">(SUMPRODUCT(B29:B35,H29:H35)-H29*B29+H29*B41)/H36</f>
        <v>62.6212120372545</v>
      </c>
      <c r="E41" s="70" t="n">
        <v>62.62</v>
      </c>
      <c r="F41" s="13" t="n">
        <f aca="false">ROUND(D41,2)-E41</f>
        <v>0</v>
      </c>
    </row>
    <row r="42" customFormat="false" ht="27.75" hidden="false" customHeight="true" outlineLevel="0" collapsed="false">
      <c r="A42" s="37" t="s">
        <v>849</v>
      </c>
      <c r="B42" s="16" t="n">
        <f aca="false">Adjustments!B11*(1+Adjustments!B12/2)*(1+Adjustments!B13)*(1+Adjustments!B28)</f>
        <v>80.565371024735</v>
      </c>
      <c r="C42" s="16" t="n">
        <f aca="false">Adjustments!C11*(1+Adjustments!C12/2)*(1+Adjustments!C13)*(1+Adjustments!C28)</f>
        <v>72.865</v>
      </c>
      <c r="D42" s="13" t="n">
        <f aca="false">(SUMPRODUCT(B29:B35,H29:H35)-H29*B29-H30*B30+H29*B42+H30*C42)/H36</f>
        <v>68.3830160171689</v>
      </c>
      <c r="E42" s="70" t="n">
        <v>68.39</v>
      </c>
      <c r="F42" s="13" t="n">
        <f aca="false">ROUND(D42,2)-E42</f>
        <v>-0.0100000000000051</v>
      </c>
      <c r="G42" s="2" t="s">
        <v>850</v>
      </c>
    </row>
    <row r="44" customFormat="false" ht="15" hidden="false" customHeight="false" outlineLevel="0" collapsed="false">
      <c r="A44" s="3" t="s">
        <v>851</v>
      </c>
      <c r="B44" s="3"/>
      <c r="C44" s="3"/>
      <c r="D44" s="3"/>
      <c r="E44" s="3"/>
      <c r="F44" s="3"/>
      <c r="G44" s="3"/>
      <c r="H44" s="3"/>
      <c r="I44" s="3"/>
      <c r="J44" s="3"/>
    </row>
    <row r="45" customFormat="false" ht="15" hidden="false" customHeight="false" outlineLevel="0" collapsed="false">
      <c r="A45" s="4" t="s">
        <v>62</v>
      </c>
      <c r="B45" s="4" t="s">
        <v>852</v>
      </c>
      <c r="C45" s="4" t="s">
        <v>817</v>
      </c>
      <c r="D45" s="4" t="s">
        <v>847</v>
      </c>
    </row>
    <row r="46" customFormat="false" ht="15" hidden="false" customHeight="false" outlineLevel="0" collapsed="false">
      <c r="A46" s="7" t="s">
        <v>853</v>
      </c>
      <c r="B46" s="16" t="n">
        <f aca="false">QUARTILE(Adjustments!$B$29:$H$29,1)</f>
        <v>55.4145711290803</v>
      </c>
      <c r="C46" s="70" t="n">
        <v>55.41</v>
      </c>
      <c r="D46" s="13" t="n">
        <f aca="false">ROUND(B46,2)-C46</f>
        <v>0</v>
      </c>
    </row>
    <row r="47" customFormat="false" ht="15" hidden="false" customHeight="false" outlineLevel="0" collapsed="false">
      <c r="A47" s="7" t="s">
        <v>854</v>
      </c>
      <c r="B47" s="16" t="n">
        <f aca="false">QUARTILE(Adjustments!$B$29:$H$29,2)</f>
        <v>62.3610810810811</v>
      </c>
      <c r="C47" s="70" t="n">
        <v>62.36</v>
      </c>
      <c r="D47" s="13" t="n">
        <f aca="false">ROUND(B47,2)-C47</f>
        <v>0</v>
      </c>
    </row>
    <row r="48" customFormat="false" ht="15" hidden="false" customHeight="false" outlineLevel="0" collapsed="false">
      <c r="A48" s="7" t="s">
        <v>855</v>
      </c>
      <c r="B48" s="16" t="n">
        <f aca="false">QUARTILE(Adjustments!$B$29:$H$29,3)</f>
        <v>72.6775441696113</v>
      </c>
      <c r="C48" s="70" t="n">
        <v>72.68</v>
      </c>
      <c r="D48" s="13" t="n">
        <f aca="false">ROUND(B48,2)-C48</f>
        <v>0</v>
      </c>
    </row>
    <row r="50" customFormat="false" ht="15" hidden="false" customHeight="false" outlineLevel="0" collapsed="false">
      <c r="A50" s="3" t="s">
        <v>856</v>
      </c>
      <c r="B50" s="3"/>
      <c r="C50" s="3"/>
      <c r="D50" s="3"/>
      <c r="E50" s="3"/>
      <c r="F50" s="3"/>
      <c r="G50" s="3"/>
      <c r="H50" s="3"/>
      <c r="I50" s="3"/>
      <c r="J50" s="3"/>
    </row>
    <row r="51" customFormat="false" ht="15" hidden="false" customHeight="false" outlineLevel="0" collapsed="false">
      <c r="A51" s="4" t="s">
        <v>857</v>
      </c>
      <c r="B51" s="4" t="s">
        <v>63</v>
      </c>
      <c r="C51" s="4" t="s">
        <v>858</v>
      </c>
      <c r="D51" s="4" t="s">
        <v>65</v>
      </c>
      <c r="E51" s="4" t="s">
        <v>85</v>
      </c>
    </row>
    <row r="52" customFormat="false" ht="15" hidden="false" customHeight="false" outlineLevel="0" collapsed="false">
      <c r="A52" s="7" t="s">
        <v>859</v>
      </c>
      <c r="B52" s="13" t="n">
        <f aca="false">C21</f>
        <v>61.3653352876511</v>
      </c>
      <c r="C52" s="13" t="n">
        <f aca="false">C22</f>
        <v>68.9068078756246</v>
      </c>
      <c r="D52" s="13" t="n">
        <f aca="false">C23</f>
        <v>76.3250883392226</v>
      </c>
      <c r="E52" s="2" t="s">
        <v>860</v>
      </c>
    </row>
    <row r="53" customFormat="false" ht="15" hidden="false" customHeight="false" outlineLevel="0" collapsed="false">
      <c r="A53" s="7" t="s">
        <v>861</v>
      </c>
      <c r="B53" s="13" t="n">
        <f aca="false">MIN(D41:D42)</f>
        <v>62.6212120372545</v>
      </c>
      <c r="C53" s="13" t="n">
        <f aca="false">$B$37</f>
        <v>66.2366109585861</v>
      </c>
      <c r="D53" s="13" t="n">
        <f aca="false">MAX(D41:D42)</f>
        <v>68.3830160171689</v>
      </c>
      <c r="E53" s="2" t="s">
        <v>862</v>
      </c>
    </row>
    <row r="54" customFormat="false" ht="15" hidden="false" customHeight="false" outlineLevel="0" collapsed="false">
      <c r="A54" s="7" t="s">
        <v>863</v>
      </c>
      <c r="B54" s="13" t="n">
        <f aca="false">B46</f>
        <v>55.4145711290803</v>
      </c>
      <c r="C54" s="13" t="n">
        <f aca="false">B47</f>
        <v>62.3610810810811</v>
      </c>
      <c r="D54" s="13" t="n">
        <f aca="false">B48</f>
        <v>72.6775441696113</v>
      </c>
      <c r="E54" s="2" t="s">
        <v>864</v>
      </c>
    </row>
    <row r="55" customFormat="false" ht="15" hidden="false" customHeight="false" outlineLevel="0" collapsed="false">
      <c r="A55" s="5" t="s">
        <v>865</v>
      </c>
      <c r="B55" s="10" t="n">
        <v>60</v>
      </c>
      <c r="C55" s="69" t="n">
        <f aca="false">ROUND($B$37,0)</f>
        <v>66</v>
      </c>
      <c r="D55" s="10" t="n">
        <v>72</v>
      </c>
    </row>
    <row r="56" customFormat="false" ht="54" hidden="false" customHeight="true" outlineLevel="0" collapsed="false">
      <c r="A56" s="55" t="s">
        <v>866</v>
      </c>
      <c r="B56" s="55"/>
      <c r="C56" s="55"/>
      <c r="D56" s="55"/>
      <c r="E56" s="55"/>
      <c r="F56" s="55"/>
      <c r="G56" s="55"/>
      <c r="H56" s="55"/>
      <c r="I56" s="55"/>
      <c r="J56" s="55"/>
    </row>
    <row r="57" customFormat="false" ht="15" hidden="false" customHeight="false" outlineLevel="0" collapsed="false">
      <c r="A57" s="40" t="s">
        <v>867</v>
      </c>
      <c r="B57" s="81" t="b">
        <f aca="false">AND(B55&gt;=B46,B55&lt;=C21)</f>
        <v>1</v>
      </c>
    </row>
    <row r="58" customFormat="false" ht="15" hidden="false" customHeight="false" outlineLevel="0" collapsed="false">
      <c r="A58" s="40" t="s">
        <v>868</v>
      </c>
      <c r="B58" s="81" t="b">
        <f aca="false">AND(D55&lt;=B48,D55&lt;B29)</f>
        <v>1</v>
      </c>
    </row>
    <row r="60" customFormat="false" ht="15" hidden="false" customHeight="false" outlineLevel="0" collapsed="false">
      <c r="A60" s="3" t="s">
        <v>869</v>
      </c>
      <c r="B60" s="3"/>
      <c r="C60" s="3"/>
      <c r="D60" s="3"/>
      <c r="E60" s="3"/>
      <c r="F60" s="3"/>
      <c r="G60" s="3"/>
      <c r="H60" s="3"/>
      <c r="I60" s="3"/>
      <c r="J60" s="3"/>
    </row>
    <row r="61" customFormat="false" ht="15" hidden="false" customHeight="false" outlineLevel="0" collapsed="false">
      <c r="A61" s="4" t="s">
        <v>62</v>
      </c>
      <c r="B61" s="4" t="s">
        <v>63</v>
      </c>
      <c r="C61" s="4" t="s">
        <v>64</v>
      </c>
      <c r="D61" s="4" t="s">
        <v>65</v>
      </c>
      <c r="E61" s="4" t="s">
        <v>66</v>
      </c>
    </row>
    <row r="62" customFormat="false" ht="15" hidden="false" customHeight="false" outlineLevel="0" collapsed="false">
      <c r="A62" s="7" t="s">
        <v>870</v>
      </c>
      <c r="B62" s="13" t="n">
        <f aca="false">$B$55</f>
        <v>60</v>
      </c>
      <c r="C62" s="13" t="n">
        <f aca="false">$C$55</f>
        <v>66</v>
      </c>
      <c r="D62" s="13" t="n">
        <f aca="false">$D$55</f>
        <v>72</v>
      </c>
      <c r="E62" s="2" t="s">
        <v>871</v>
      </c>
    </row>
    <row r="63" customFormat="false" ht="15" hidden="false" customHeight="false" outlineLevel="0" collapsed="false">
      <c r="A63" s="7" t="s">
        <v>872</v>
      </c>
      <c r="B63" s="16" t="n">
        <f aca="false">B62+'Executive Summary'!$B$8</f>
        <v>67</v>
      </c>
      <c r="C63" s="16" t="n">
        <f aca="false">C62+'Executive Summary'!$B$8</f>
        <v>73</v>
      </c>
      <c r="D63" s="16" t="n">
        <f aca="false">D62+'Executive Summary'!$B$8</f>
        <v>79</v>
      </c>
      <c r="E63" s="2" t="s">
        <v>873</v>
      </c>
    </row>
    <row r="64" customFormat="false" ht="15" hidden="false" customHeight="false" outlineLevel="0" collapsed="false">
      <c r="A64" s="7" t="s">
        <v>874</v>
      </c>
      <c r="B64" s="51" t="n">
        <f aca="false">B62*'Executive Summary'!$B$6</f>
        <v>66000</v>
      </c>
      <c r="C64" s="51" t="n">
        <f aca="false">C62*'Executive Summary'!$B$6</f>
        <v>72600</v>
      </c>
      <c r="D64" s="51" t="n">
        <f aca="false">D62*'Executive Summary'!$B$6</f>
        <v>79200</v>
      </c>
      <c r="E64" s="2" t="s">
        <v>875</v>
      </c>
    </row>
    <row r="65" customFormat="false" ht="15" hidden="false" customHeight="false" outlineLevel="0" collapsed="false">
      <c r="A65" s="7" t="s">
        <v>876</v>
      </c>
      <c r="B65" s="14" t="n">
        <f aca="false">B64/12</f>
        <v>5500</v>
      </c>
      <c r="C65" s="14" t="n">
        <f aca="false">C64/12</f>
        <v>6050</v>
      </c>
      <c r="D65" s="14" t="n">
        <f aca="false">D64/12</f>
        <v>6600</v>
      </c>
      <c r="E65" s="2" t="s">
        <v>877</v>
      </c>
    </row>
    <row r="66" customFormat="false" ht="15" hidden="false" customHeight="false" outlineLevel="0" collapsed="false">
      <c r="A66" s="7" t="s">
        <v>878</v>
      </c>
      <c r="B66" s="51" t="n">
        <f aca="false">B63*'Executive Summary'!$B$6/12</f>
        <v>6141.66666666667</v>
      </c>
      <c r="C66" s="51" t="n">
        <f aca="false">C63*'Executive Summary'!$B$6/12</f>
        <v>6691.66666666667</v>
      </c>
      <c r="D66" s="51" t="n">
        <f aca="false">D63*'Executive Summary'!$B$6/12</f>
        <v>7241.66666666667</v>
      </c>
      <c r="E66" s="2"/>
    </row>
    <row r="67" customFormat="false" ht="15" hidden="false" customHeight="false" outlineLevel="0" collapsed="false">
      <c r="A67" s="7" t="s">
        <v>11</v>
      </c>
      <c r="B67" s="51" t="n">
        <f aca="false">'Executive Summary'!$B$7</f>
        <v>5000</v>
      </c>
      <c r="C67" s="51" t="n">
        <f aca="false">'Executive Summary'!$B$7</f>
        <v>5000</v>
      </c>
      <c r="D67" s="51" t="n">
        <f aca="false">'Executive Summary'!$B$7</f>
        <v>5000</v>
      </c>
      <c r="E67" s="2" t="s">
        <v>52</v>
      </c>
    </row>
    <row r="68" customFormat="false" ht="15" hidden="false" customHeight="false" outlineLevel="0" collapsed="false">
      <c r="A68" s="7" t="s">
        <v>879</v>
      </c>
      <c r="B68" s="15" t="n">
        <f aca="false">B67/B65-1</f>
        <v>-0.0909090909090909</v>
      </c>
      <c r="C68" s="15" t="n">
        <f aca="false">C67/C65-1</f>
        <v>-0.173553719008264</v>
      </c>
      <c r="D68" s="15" t="n">
        <f aca="false">D67/D65-1</f>
        <v>-0.242424242424242</v>
      </c>
      <c r="E68" s="2" t="s">
        <v>880</v>
      </c>
    </row>
    <row r="69" customFormat="false" ht="15" hidden="false" customHeight="false" outlineLevel="0" collapsed="false">
      <c r="A69" s="7" t="s">
        <v>881</v>
      </c>
      <c r="B69" s="82" t="n">
        <f aca="false">('Executive Summary'!$B$7*12/'Executive Summary'!$B$6)/B63-1</f>
        <v>-0.185888738127544</v>
      </c>
      <c r="C69" s="82" t="n">
        <f aca="false">('Executive Summary'!$B$7*12/'Executive Summary'!$B$6)/C63-1</f>
        <v>-0.25280199252802</v>
      </c>
      <c r="D69" s="82" t="n">
        <f aca="false">('Executive Summary'!$B$7*12/'Executive Summary'!$B$6)/D63-1</f>
        <v>-0.309551208285386</v>
      </c>
      <c r="E69" s="2" t="s">
        <v>882</v>
      </c>
    </row>
    <row r="70" customFormat="false" ht="15" hidden="false" customHeight="false" outlineLevel="0" collapsed="false">
      <c r="A70" s="7" t="s">
        <v>883</v>
      </c>
      <c r="B70" s="82" t="n">
        <f aca="false">('Executive Summary'!$B$7*12/'Executive Summary'!$B$6-'Executive Summary'!$B$8)/B62-1</f>
        <v>-0.207575757575758</v>
      </c>
      <c r="C70" s="82" t="n">
        <f aca="false">('Executive Summary'!$B$7*12/'Executive Summary'!$B$6-'Executive Summary'!$B$8)/C62-1</f>
        <v>-0.279614325068871</v>
      </c>
      <c r="D70" s="82" t="n">
        <f aca="false">('Executive Summary'!$B$7*12/'Executive Summary'!$B$6-'Executive Summary'!$B$8)/D62-1</f>
        <v>-0.339646464646465</v>
      </c>
      <c r="E70" s="2" t="s">
        <v>884</v>
      </c>
    </row>
    <row r="72" customFormat="false" ht="15" hidden="false" customHeight="false" outlineLevel="0" collapsed="false">
      <c r="A72" s="3" t="s">
        <v>885</v>
      </c>
      <c r="B72" s="3"/>
      <c r="C72" s="3"/>
      <c r="D72" s="3"/>
      <c r="E72" s="3"/>
      <c r="F72" s="3"/>
      <c r="G72" s="3"/>
      <c r="H72" s="3"/>
      <c r="I72" s="3"/>
      <c r="J72" s="3"/>
    </row>
    <row r="73" customFormat="false" ht="15" hidden="false" customHeight="false" outlineLevel="0" collapsed="false">
      <c r="A73" s="4" t="s">
        <v>80</v>
      </c>
      <c r="B73" s="4" t="s">
        <v>82</v>
      </c>
      <c r="C73" s="4" t="s">
        <v>81</v>
      </c>
      <c r="D73" s="4" t="s">
        <v>83</v>
      </c>
      <c r="E73" s="4" t="s">
        <v>886</v>
      </c>
      <c r="F73" s="4" t="s">
        <v>887</v>
      </c>
      <c r="G73" s="4" t="s">
        <v>888</v>
      </c>
      <c r="H73" s="4" t="s">
        <v>85</v>
      </c>
    </row>
    <row r="74" customFormat="false" ht="15" hidden="false" customHeight="false" outlineLevel="0" collapsed="false">
      <c r="A74" s="5" t="s">
        <v>86</v>
      </c>
      <c r="B74" s="13" t="n">
        <f aca="false">$B$55</f>
        <v>60</v>
      </c>
      <c r="C74" s="22" t="n">
        <f aca="false">B74*'Executive Summary'!$B$6/12</f>
        <v>5500</v>
      </c>
      <c r="D74" s="14" t="n">
        <f aca="false">C74*12</f>
        <v>66000</v>
      </c>
      <c r="E74" s="82" t="n">
        <f aca="false">C74/'Executive Summary'!$B$7-1</f>
        <v>0.1</v>
      </c>
      <c r="F74" s="51" t="n">
        <f aca="false">C74-'Executive Summary'!$B$7</f>
        <v>500</v>
      </c>
      <c r="G74" s="14" t="n">
        <f aca="false">F74*12</f>
        <v>6000</v>
      </c>
      <c r="H74" s="2" t="s">
        <v>889</v>
      </c>
    </row>
    <row r="75" customFormat="false" ht="15" hidden="false" customHeight="false" outlineLevel="0" collapsed="false">
      <c r="A75" s="5" t="s">
        <v>88</v>
      </c>
      <c r="B75" s="13" t="n">
        <f aca="false">$C$55</f>
        <v>66</v>
      </c>
      <c r="C75" s="22" t="n">
        <f aca="false">B75*'Executive Summary'!$B$6/12</f>
        <v>6050</v>
      </c>
      <c r="D75" s="14" t="n">
        <f aca="false">C75*12</f>
        <v>72600</v>
      </c>
      <c r="E75" s="82" t="n">
        <f aca="false">C75/'Executive Summary'!$B$7-1</f>
        <v>0.21</v>
      </c>
      <c r="F75" s="51" t="n">
        <f aca="false">C75-'Executive Summary'!$B$7</f>
        <v>1050</v>
      </c>
      <c r="G75" s="14" t="n">
        <f aca="false">F75*12</f>
        <v>12600</v>
      </c>
      <c r="H75" s="2" t="s">
        <v>890</v>
      </c>
    </row>
    <row r="76" customFormat="false" ht="15" hidden="false" customHeight="false" outlineLevel="0" collapsed="false">
      <c r="A76" s="5" t="s">
        <v>90</v>
      </c>
      <c r="B76" s="16" t="n">
        <f aca="false">C76*12/'Executive Summary'!$B$6</f>
        <v>76.3636363636364</v>
      </c>
      <c r="C76" s="22" t="n">
        <f aca="false">ROUND(Adjustments!B29*'Executive Summary'!$B$6/12,-2)</f>
        <v>7000</v>
      </c>
      <c r="D76" s="14" t="n">
        <f aca="false">C76*12</f>
        <v>84000</v>
      </c>
      <c r="E76" s="82" t="n">
        <f aca="false">C76/'Executive Summary'!$B$7-1</f>
        <v>0.4</v>
      </c>
      <c r="F76" s="51" t="n">
        <f aca="false">C76-'Executive Summary'!$B$7</f>
        <v>2000</v>
      </c>
      <c r="G76" s="14" t="n">
        <f aca="false">F76*12</f>
        <v>24000</v>
      </c>
      <c r="H76" s="2" t="s">
        <v>891</v>
      </c>
    </row>
    <row r="77" customFormat="false" ht="15" hidden="false" customHeight="false" outlineLevel="0" collapsed="false">
      <c r="A77" s="40" t="s">
        <v>892</v>
      </c>
      <c r="B77" s="54" t="n">
        <v>5</v>
      </c>
      <c r="C77" s="2" t="s">
        <v>893</v>
      </c>
    </row>
    <row r="78" customFormat="false" ht="15" hidden="false" customHeight="false" outlineLevel="0" collapsed="false">
      <c r="A78" s="40" t="s">
        <v>894</v>
      </c>
      <c r="B78" s="83" t="n">
        <f aca="false">G75*B77</f>
        <v>63000</v>
      </c>
      <c r="C78" s="2" t="s">
        <v>895</v>
      </c>
    </row>
    <row r="80" customFormat="false" ht="67.5" hidden="false" customHeight="true" outlineLevel="0" collapsed="false">
      <c r="A80" s="73" t="s">
        <v>896</v>
      </c>
      <c r="B80" s="73"/>
      <c r="C80" s="73"/>
      <c r="D80" s="73"/>
      <c r="E80" s="73"/>
      <c r="F80" s="73"/>
      <c r="G80" s="73"/>
      <c r="H80" s="73"/>
      <c r="I80" s="73"/>
      <c r="J80" s="73"/>
    </row>
    <row r="82" customFormat="false" ht="15" hidden="false" customHeight="false" outlineLevel="0" collapsed="false">
      <c r="A82" s="3" t="s">
        <v>355</v>
      </c>
      <c r="B82" s="3"/>
      <c r="C82" s="3"/>
      <c r="D82" s="3"/>
      <c r="E82" s="3"/>
      <c r="F82" s="3"/>
      <c r="G82" s="3"/>
      <c r="H82" s="3"/>
      <c r="I82" s="3"/>
      <c r="J82" s="3"/>
    </row>
    <row r="83" customFormat="false" ht="54" hidden="false" customHeight="true" outlineLevel="0" collapsed="false">
      <c r="A83" s="8" t="s">
        <v>356</v>
      </c>
      <c r="B83" s="8"/>
      <c r="C83" s="8"/>
      <c r="D83" s="8"/>
      <c r="E83" s="8"/>
      <c r="F83" s="8"/>
      <c r="G83" s="8"/>
      <c r="H83" s="8"/>
      <c r="I83" s="8"/>
      <c r="J83" s="8"/>
    </row>
    <row r="84" customFormat="false" ht="54" hidden="false" customHeight="true" outlineLevel="0" collapsed="false">
      <c r="A84" s="8" t="s">
        <v>357</v>
      </c>
      <c r="B84" s="8"/>
      <c r="C84" s="8"/>
      <c r="D84" s="8"/>
      <c r="E84" s="8"/>
      <c r="F84" s="8"/>
      <c r="G84" s="8"/>
      <c r="H84" s="8"/>
      <c r="I84" s="8"/>
      <c r="J84" s="8"/>
    </row>
    <row r="85" customFormat="false" ht="40.5" hidden="false" customHeight="true" outlineLevel="0" collapsed="false">
      <c r="A85" s="8" t="s">
        <v>358</v>
      </c>
      <c r="B85" s="8"/>
      <c r="C85" s="8"/>
      <c r="D85" s="8"/>
      <c r="E85" s="8"/>
      <c r="F85" s="8"/>
      <c r="G85" s="8"/>
      <c r="H85" s="8"/>
      <c r="I85" s="8"/>
      <c r="J85" s="8"/>
    </row>
    <row r="86" customFormat="false" ht="27" hidden="false" customHeight="true" outlineLevel="0" collapsed="false">
      <c r="A86" s="8" t="s">
        <v>359</v>
      </c>
      <c r="B86" s="8"/>
      <c r="C86" s="8"/>
      <c r="D86" s="8"/>
      <c r="E86" s="8"/>
      <c r="F86" s="8"/>
      <c r="G86" s="8"/>
      <c r="H86" s="8"/>
      <c r="I86" s="8"/>
      <c r="J86" s="8"/>
    </row>
  </sheetData>
  <mergeCells count="6">
    <mergeCell ref="A56:J56"/>
    <mergeCell ref="A80:J80"/>
    <mergeCell ref="A83:J83"/>
    <mergeCell ref="A84:J84"/>
    <mergeCell ref="A85:J85"/>
    <mergeCell ref="A86:J8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24"/>
    <col collapsed="false" customWidth="true" hidden="false" outlineLevel="0" max="5" min="5" style="0" width="22"/>
    <col collapsed="false" customWidth="true" hidden="false" outlineLevel="0" max="6" min="6" style="0" width="24"/>
    <col collapsed="false" customWidth="true" hidden="false" outlineLevel="0" max="7" min="7" style="0" width="26"/>
    <col collapsed="false" customWidth="true" hidden="false" outlineLevel="0" max="8" min="8" style="0" width="22"/>
  </cols>
  <sheetData>
    <row r="1" customFormat="false" ht="17.35" hidden="false" customHeight="false" outlineLevel="0" collapsed="false">
      <c r="A1" s="1" t="s">
        <v>897</v>
      </c>
    </row>
    <row r="2" customFormat="false" ht="15" hidden="false" customHeight="false" outlineLevel="0" collapsed="false">
      <c r="A2" s="2" t="s">
        <v>898</v>
      </c>
    </row>
    <row r="4" customFormat="false" ht="15" hidden="false" customHeight="false" outlineLevel="0" collapsed="false">
      <c r="A4" s="3" t="s">
        <v>899</v>
      </c>
      <c r="B4" s="3"/>
      <c r="C4" s="3"/>
      <c r="D4" s="3"/>
      <c r="E4" s="3"/>
      <c r="F4" s="3"/>
    </row>
    <row r="5" customFormat="false" ht="15" hidden="false" customHeight="false" outlineLevel="0" collapsed="false">
      <c r="A5" s="40" t="s">
        <v>900</v>
      </c>
      <c r="B5" s="84" t="n">
        <f aca="false">'Executive Summary'!$B$6</f>
        <v>1100</v>
      </c>
      <c r="C5" s="40" t="s">
        <v>901</v>
      </c>
      <c r="D5" s="85" t="n">
        <f aca="false">'Executive Summary'!$B$7</f>
        <v>5000</v>
      </c>
    </row>
    <row r="6" customFormat="false" ht="23.85" hidden="false" customHeight="false" outlineLevel="0" collapsed="false">
      <c r="A6" s="4" t="s">
        <v>82</v>
      </c>
      <c r="B6" s="4" t="s">
        <v>902</v>
      </c>
      <c r="C6" s="4" t="s">
        <v>903</v>
      </c>
      <c r="D6" s="4" t="s">
        <v>904</v>
      </c>
      <c r="E6" s="4" t="s">
        <v>905</v>
      </c>
    </row>
    <row r="7" customFormat="false" ht="15" hidden="false" customHeight="false" outlineLevel="0" collapsed="false">
      <c r="A7" s="70" t="n">
        <v>50</v>
      </c>
      <c r="B7" s="14" t="n">
        <f aca="false">A7*$B$5</f>
        <v>55000</v>
      </c>
      <c r="C7" s="14" t="n">
        <f aca="false">B7/12</f>
        <v>4583.33333333333</v>
      </c>
      <c r="D7" s="15" t="n">
        <f aca="false">C7/$D$5-1</f>
        <v>-0.0833333333333334</v>
      </c>
      <c r="E7" s="50" t="str">
        <f aca="false">IF(A7&lt;'Market Rent Analysis'!$B$55,"Below range",IF(A7&gt;'Market Rent Analysis'!$D$55,"Above range","Within range"))</f>
        <v>Below range</v>
      </c>
    </row>
    <row r="8" customFormat="false" ht="15" hidden="false" customHeight="false" outlineLevel="0" collapsed="false">
      <c r="A8" s="70" t="n">
        <v>55</v>
      </c>
      <c r="B8" s="14" t="n">
        <f aca="false">A8*$B$5</f>
        <v>60500</v>
      </c>
      <c r="C8" s="14" t="n">
        <f aca="false">B8/12</f>
        <v>5041.66666666667</v>
      </c>
      <c r="D8" s="15" t="n">
        <f aca="false">C8/$D$5-1</f>
        <v>0.0083333333333333</v>
      </c>
      <c r="E8" s="50" t="str">
        <f aca="false">IF(A8&lt;'Market Rent Analysis'!$B$55,"Below range",IF(A8&gt;'Market Rent Analysis'!$D$55,"Above range","Within range"))</f>
        <v>Below range</v>
      </c>
    </row>
    <row r="9" customFormat="false" ht="15" hidden="false" customHeight="false" outlineLevel="0" collapsed="false">
      <c r="A9" s="70" t="n">
        <v>60</v>
      </c>
      <c r="B9" s="14" t="n">
        <f aca="false">A9*$B$5</f>
        <v>66000</v>
      </c>
      <c r="C9" s="14" t="n">
        <f aca="false">B9/12</f>
        <v>5500</v>
      </c>
      <c r="D9" s="15" t="n">
        <f aca="false">C9/$D$5-1</f>
        <v>0.1</v>
      </c>
      <c r="E9" s="50" t="str">
        <f aca="false">IF(A9&lt;'Market Rent Analysis'!$B$55,"Below range",IF(A9&gt;'Market Rent Analysis'!$D$55,"Above range","Within range"))</f>
        <v>Within range</v>
      </c>
    </row>
    <row r="10" customFormat="false" ht="15" hidden="false" customHeight="false" outlineLevel="0" collapsed="false">
      <c r="A10" s="70" t="n">
        <v>65</v>
      </c>
      <c r="B10" s="14" t="n">
        <f aca="false">A10*$B$5</f>
        <v>71500</v>
      </c>
      <c r="C10" s="14" t="n">
        <f aca="false">B10/12</f>
        <v>5958.33333333333</v>
      </c>
      <c r="D10" s="15" t="n">
        <f aca="false">C10/$D$5-1</f>
        <v>0.191666666666667</v>
      </c>
      <c r="E10" s="50" t="str">
        <f aca="false">IF(A10&lt;'Market Rent Analysis'!$B$55,"Below range",IF(A10&gt;'Market Rent Analysis'!$D$55,"Above range","Within range"))</f>
        <v>Within range</v>
      </c>
    </row>
    <row r="11" customFormat="false" ht="15" hidden="false" customHeight="false" outlineLevel="0" collapsed="false">
      <c r="A11" s="70" t="n">
        <v>70</v>
      </c>
      <c r="B11" s="14" t="n">
        <f aca="false">A11*$B$5</f>
        <v>77000</v>
      </c>
      <c r="C11" s="14" t="n">
        <f aca="false">B11/12</f>
        <v>6416.66666666667</v>
      </c>
      <c r="D11" s="15" t="n">
        <f aca="false">C11/$D$5-1</f>
        <v>0.283333333333333</v>
      </c>
      <c r="E11" s="50" t="str">
        <f aca="false">IF(A11&lt;'Market Rent Analysis'!$B$55,"Below range",IF(A11&gt;'Market Rent Analysis'!$D$55,"Above range","Within range"))</f>
        <v>Within range</v>
      </c>
    </row>
    <row r="12" customFormat="false" ht="15" hidden="false" customHeight="false" outlineLevel="0" collapsed="false">
      <c r="A12" s="70" t="n">
        <v>75</v>
      </c>
      <c r="B12" s="14" t="n">
        <f aca="false">A12*$B$5</f>
        <v>82500</v>
      </c>
      <c r="C12" s="14" t="n">
        <f aca="false">B12/12</f>
        <v>6875</v>
      </c>
      <c r="D12" s="15" t="n">
        <f aca="false">C12/$D$5-1</f>
        <v>0.375</v>
      </c>
      <c r="E12" s="50" t="str">
        <f aca="false">IF(A12&lt;'Market Rent Analysis'!$B$55,"Below range",IF(A12&gt;'Market Rent Analysis'!$D$55,"Above range","Within range"))</f>
        <v>Above range</v>
      </c>
    </row>
    <row r="13" customFormat="false" ht="15" hidden="false" customHeight="false" outlineLevel="0" collapsed="false">
      <c r="A13" s="70" t="n">
        <v>80</v>
      </c>
      <c r="B13" s="14" t="n">
        <f aca="false">A13*$B$5</f>
        <v>88000</v>
      </c>
      <c r="C13" s="14" t="n">
        <f aca="false">B13/12</f>
        <v>7333.33333333333</v>
      </c>
      <c r="D13" s="15" t="n">
        <f aca="false">C13/$D$5-1</f>
        <v>0.466666666666667</v>
      </c>
      <c r="E13" s="50" t="str">
        <f aca="false">IF(A13&lt;'Market Rent Analysis'!$B$55,"Below range",IF(A13&gt;'Market Rent Analysis'!$D$55,"Above range","Within range"))</f>
        <v>Above range</v>
      </c>
    </row>
    <row r="14" customFormat="false" ht="15" hidden="false" customHeight="false" outlineLevel="0" collapsed="false">
      <c r="A14" s="70" t="n">
        <v>85</v>
      </c>
      <c r="B14" s="14" t="n">
        <f aca="false">A14*$B$5</f>
        <v>93500</v>
      </c>
      <c r="C14" s="14" t="n">
        <f aca="false">B14/12</f>
        <v>7791.66666666667</v>
      </c>
      <c r="D14" s="15" t="n">
        <f aca="false">C14/$D$5-1</f>
        <v>0.558333333333333</v>
      </c>
      <c r="E14" s="50" t="str">
        <f aca="false">IF(A14&lt;'Market Rent Analysis'!$B$55,"Below range",IF(A14&gt;'Market Rent Analysis'!$D$55,"Above range","Within range"))</f>
        <v>Above range</v>
      </c>
    </row>
    <row r="15" customFormat="false" ht="15" hidden="false" customHeight="false" outlineLevel="0" collapsed="false">
      <c r="A15" s="70" t="n">
        <v>90</v>
      </c>
      <c r="B15" s="14" t="n">
        <f aca="false">A15*$B$5</f>
        <v>99000</v>
      </c>
      <c r="C15" s="14" t="n">
        <f aca="false">B15/12</f>
        <v>8250</v>
      </c>
      <c r="D15" s="15" t="n">
        <f aca="false">C15/$D$5-1</f>
        <v>0.65</v>
      </c>
      <c r="E15" s="50" t="str">
        <f aca="false">IF(A15&lt;'Market Rent Analysis'!$B$55,"Below range",IF(A15&gt;'Market Rent Analysis'!$D$55,"Above range","Within range"))</f>
        <v>Above range</v>
      </c>
    </row>
    <row r="16" customFormat="false" ht="15" hidden="false" customHeight="false" outlineLevel="0" collapsed="false">
      <c r="A16" s="70" t="n">
        <v>100</v>
      </c>
      <c r="B16" s="14" t="n">
        <f aca="false">A16*$B$5</f>
        <v>110000</v>
      </c>
      <c r="C16" s="14" t="n">
        <f aca="false">B16/12</f>
        <v>9166.66666666667</v>
      </c>
      <c r="D16" s="15" t="n">
        <f aca="false">C16/$D$5-1</f>
        <v>0.833333333333333</v>
      </c>
      <c r="E16" s="50" t="str">
        <f aca="false">IF(A16&lt;'Market Rent Analysis'!$B$55,"Below range",IF(A16&gt;'Market Rent Analysis'!$D$55,"Above range","Within range"))</f>
        <v>Above range</v>
      </c>
    </row>
    <row r="17" customFormat="false" ht="15" hidden="false" customHeight="false" outlineLevel="0" collapsed="false">
      <c r="A17" s="40" t="s">
        <v>906</v>
      </c>
      <c r="B17" s="20" t="n">
        <f aca="false">D5*12/B5</f>
        <v>54.5454545454546</v>
      </c>
      <c r="C17" s="2" t="s">
        <v>907</v>
      </c>
    </row>
    <row r="19" customFormat="false" ht="15" hidden="false" customHeight="false" outlineLevel="0" collapsed="false">
      <c r="A19" s="3" t="s">
        <v>908</v>
      </c>
      <c r="B19" s="3"/>
      <c r="C19" s="3"/>
      <c r="D19" s="3"/>
      <c r="E19" s="3"/>
      <c r="F19" s="3"/>
      <c r="G19" s="3"/>
      <c r="H19" s="3"/>
    </row>
    <row r="20" customFormat="false" ht="23.85" hidden="false" customHeight="false" outlineLevel="0" collapsed="false">
      <c r="A20" s="4" t="s">
        <v>909</v>
      </c>
      <c r="B20" s="4" t="s">
        <v>55</v>
      </c>
      <c r="C20" s="4" t="s">
        <v>910</v>
      </c>
      <c r="D20" s="4" t="s">
        <v>911</v>
      </c>
      <c r="E20" s="4" t="s">
        <v>912</v>
      </c>
      <c r="F20" s="4" t="s">
        <v>913</v>
      </c>
      <c r="G20" s="4" t="s">
        <v>914</v>
      </c>
    </row>
    <row r="21" customFormat="false" ht="15" hidden="false" customHeight="false" outlineLevel="0" collapsed="false">
      <c r="A21" s="32" t="n">
        <v>1000</v>
      </c>
      <c r="B21" s="13" t="n">
        <f aca="false">$D$5*12/A21</f>
        <v>60</v>
      </c>
      <c r="C21" s="51" t="n">
        <f aca="false">'Market Rent Analysis'!$B$55*A21/12</f>
        <v>5000</v>
      </c>
      <c r="D21" s="51" t="n">
        <f aca="false">'Market Rent Analysis'!$C$55*A21/12</f>
        <v>5500</v>
      </c>
      <c r="E21" s="51" t="n">
        <f aca="false">'Market Rent Analysis'!$D$55*A21/12</f>
        <v>6000</v>
      </c>
      <c r="F21" s="15" t="n">
        <f aca="false">$D$5/D21-1</f>
        <v>-0.0909090909090909</v>
      </c>
      <c r="G21" s="15" t="n">
        <f aca="false">$D$5/C21-1</f>
        <v>0</v>
      </c>
    </row>
    <row r="22" customFormat="false" ht="15" hidden="false" customHeight="false" outlineLevel="0" collapsed="false">
      <c r="A22" s="32" t="n">
        <v>1100</v>
      </c>
      <c r="B22" s="13" t="n">
        <f aca="false">$D$5*12/A22</f>
        <v>54.5454545454546</v>
      </c>
      <c r="C22" s="51" t="n">
        <f aca="false">'Market Rent Analysis'!$B$55*A22/12</f>
        <v>5500</v>
      </c>
      <c r="D22" s="51" t="n">
        <f aca="false">'Market Rent Analysis'!$C$55*A22/12</f>
        <v>6050</v>
      </c>
      <c r="E22" s="51" t="n">
        <f aca="false">'Market Rent Analysis'!$D$55*A22/12</f>
        <v>6600</v>
      </c>
      <c r="F22" s="15" t="n">
        <f aca="false">$D$5/D22-1</f>
        <v>-0.173553719008264</v>
      </c>
      <c r="G22" s="15" t="n">
        <f aca="false">$D$5/C22-1</f>
        <v>-0.0909090909090909</v>
      </c>
    </row>
    <row r="23" customFormat="false" ht="15" hidden="false" customHeight="false" outlineLevel="0" collapsed="false">
      <c r="A23" s="32" t="n">
        <v>1200</v>
      </c>
      <c r="B23" s="13" t="n">
        <f aca="false">$D$5*12/A23</f>
        <v>50</v>
      </c>
      <c r="C23" s="51" t="n">
        <f aca="false">'Market Rent Analysis'!$B$55*A23/12</f>
        <v>6000</v>
      </c>
      <c r="D23" s="51" t="n">
        <f aca="false">'Market Rent Analysis'!$C$55*A23/12</f>
        <v>6600</v>
      </c>
      <c r="E23" s="51" t="n">
        <f aca="false">'Market Rent Analysis'!$D$55*A23/12</f>
        <v>7200</v>
      </c>
      <c r="F23" s="15" t="n">
        <f aca="false">$D$5/D23-1</f>
        <v>-0.242424242424242</v>
      </c>
      <c r="G23" s="15" t="n">
        <f aca="false">$D$5/C23-1</f>
        <v>-0.166666666666667</v>
      </c>
    </row>
    <row r="24" customFormat="false" ht="27" hidden="false" customHeight="true" outlineLevel="0" collapsed="false">
      <c r="A24" s="55" t="s">
        <v>915</v>
      </c>
      <c r="B24" s="55"/>
      <c r="C24" s="55"/>
      <c r="D24" s="55"/>
      <c r="E24" s="55"/>
      <c r="F24" s="55"/>
      <c r="G24" s="55"/>
      <c r="H24" s="55"/>
    </row>
    <row r="26" customFormat="false" ht="15" hidden="false" customHeight="false" outlineLevel="0" collapsed="false">
      <c r="A26" s="3" t="s">
        <v>916</v>
      </c>
      <c r="B26" s="3"/>
      <c r="C26" s="3"/>
      <c r="D26" s="3"/>
      <c r="E26" s="3"/>
      <c r="F26" s="3"/>
      <c r="G26" s="3"/>
      <c r="H26" s="3"/>
    </row>
    <row r="27" customFormat="false" ht="23.85" hidden="false" customHeight="false" outlineLevel="0" collapsed="false">
      <c r="A27" s="4" t="s">
        <v>917</v>
      </c>
      <c r="B27" s="4" t="s">
        <v>918</v>
      </c>
      <c r="C27" s="4" t="s">
        <v>919</v>
      </c>
      <c r="D27" s="4" t="s">
        <v>920</v>
      </c>
      <c r="E27" s="4" t="s">
        <v>921</v>
      </c>
      <c r="F27" s="4" t="s">
        <v>922</v>
      </c>
      <c r="G27" s="4" t="s">
        <v>923</v>
      </c>
      <c r="H27" s="4" t="s">
        <v>924</v>
      </c>
    </row>
    <row r="28" customFormat="false" ht="15" hidden="false" customHeight="false" outlineLevel="0" collapsed="false">
      <c r="A28" s="7" t="s">
        <v>63</v>
      </c>
      <c r="B28" s="70" t="n">
        <v>5</v>
      </c>
      <c r="C28" s="16" t="n">
        <f aca="false">'Market Rent Analysis'!$B$55+B28</f>
        <v>65</v>
      </c>
      <c r="D28" s="16" t="n">
        <f aca="false">'Market Rent Analysis'!$C$55+B28</f>
        <v>71</v>
      </c>
      <c r="E28" s="16" t="n">
        <f aca="false">'Market Rent Analysis'!$D$55+B28</f>
        <v>77</v>
      </c>
      <c r="F28" s="14" t="n">
        <f aca="false">D28*$B$5/12</f>
        <v>6508.33333333333</v>
      </c>
      <c r="G28" s="15" t="n">
        <f aca="false">$B$17/D28-1</f>
        <v>-0.231754161331626</v>
      </c>
      <c r="H28" s="13" t="n">
        <f aca="false">$B$17-B28</f>
        <v>49.5454545454546</v>
      </c>
    </row>
    <row r="29" customFormat="false" ht="15" hidden="false" customHeight="false" outlineLevel="0" collapsed="false">
      <c r="A29" s="7" t="s">
        <v>925</v>
      </c>
      <c r="B29" s="16" t="n">
        <f aca="false">'Executive Summary'!$B$8</f>
        <v>7</v>
      </c>
      <c r="C29" s="16" t="n">
        <f aca="false">'Market Rent Analysis'!$B$55+B29</f>
        <v>67</v>
      </c>
      <c r="D29" s="16" t="n">
        <f aca="false">'Market Rent Analysis'!$C$55+B29</f>
        <v>73</v>
      </c>
      <c r="E29" s="16" t="n">
        <f aca="false">'Market Rent Analysis'!$D$55+B29</f>
        <v>79</v>
      </c>
      <c r="F29" s="14" t="n">
        <f aca="false">D29*$B$5/12</f>
        <v>6691.66666666667</v>
      </c>
      <c r="G29" s="15" t="n">
        <f aca="false">$B$17/D29-1</f>
        <v>-0.25280199252802</v>
      </c>
      <c r="H29" s="13" t="n">
        <f aca="false">$B$17-B29</f>
        <v>47.5454545454546</v>
      </c>
    </row>
    <row r="30" customFormat="false" ht="15" hidden="false" customHeight="false" outlineLevel="0" collapsed="false">
      <c r="A30" s="7" t="s">
        <v>65</v>
      </c>
      <c r="B30" s="70" t="n">
        <v>8.75</v>
      </c>
      <c r="C30" s="16" t="n">
        <f aca="false">'Market Rent Analysis'!$B$55+B30</f>
        <v>68.75</v>
      </c>
      <c r="D30" s="16" t="n">
        <f aca="false">'Market Rent Analysis'!$C$55+B30</f>
        <v>74.75</v>
      </c>
      <c r="E30" s="16" t="n">
        <f aca="false">'Market Rent Analysis'!$D$55+B30</f>
        <v>80.75</v>
      </c>
      <c r="F30" s="14" t="n">
        <f aca="false">D30*$B$5/12</f>
        <v>6852.08333333333</v>
      </c>
      <c r="G30" s="15" t="n">
        <f aca="false">$B$17/D30-1</f>
        <v>-0.270294922468835</v>
      </c>
      <c r="H30" s="13" t="n">
        <f aca="false">$B$17-B30</f>
        <v>45.7954545454546</v>
      </c>
    </row>
    <row r="31" customFormat="false" ht="40.5" hidden="false" customHeight="true" outlineLevel="0" collapsed="false">
      <c r="A31" s="55" t="s">
        <v>926</v>
      </c>
      <c r="B31" s="55"/>
      <c r="C31" s="55"/>
      <c r="D31" s="55"/>
      <c r="E31" s="55"/>
      <c r="F31" s="55"/>
      <c r="G31" s="55"/>
      <c r="H31" s="55"/>
    </row>
  </sheetData>
  <mergeCells count="2">
    <mergeCell ref="A24:H24"/>
    <mergeCell ref="A31:H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0"/>
    <col collapsed="false" customWidth="true" hidden="false" outlineLevel="0" max="3" min="3" style="0" width="100"/>
    <col collapsed="false" customWidth="true" hidden="false" outlineLevel="0" max="4" min="4" style="0" width="26"/>
  </cols>
  <sheetData>
    <row r="1" customFormat="false" ht="17.35" hidden="false" customHeight="false" outlineLevel="0" collapsed="false">
      <c r="A1" s="1" t="s">
        <v>927</v>
      </c>
    </row>
    <row r="2" customFormat="false" ht="15" hidden="false" customHeight="false" outlineLevel="0" collapsed="false">
      <c r="A2" s="2" t="s">
        <v>928</v>
      </c>
    </row>
    <row r="4" customFormat="false" ht="15" hidden="false" customHeight="false" outlineLevel="0" collapsed="false">
      <c r="A4" s="4" t="s">
        <v>929</v>
      </c>
      <c r="B4" s="4" t="s">
        <v>129</v>
      </c>
      <c r="C4" s="4" t="s">
        <v>930</v>
      </c>
      <c r="D4" s="4" t="s">
        <v>473</v>
      </c>
    </row>
    <row r="5" customFormat="false" ht="15" hidden="false" customHeight="false" outlineLevel="0" collapsed="false">
      <c r="A5" s="86" t="n">
        <v>1</v>
      </c>
      <c r="B5" s="40" t="s">
        <v>931</v>
      </c>
      <c r="C5" s="87" t="s">
        <v>932</v>
      </c>
      <c r="D5" s="40" t="s">
        <v>933</v>
      </c>
    </row>
    <row r="6" customFormat="false" ht="15" hidden="false" customHeight="false" outlineLevel="0" collapsed="false">
      <c r="A6" s="86" t="n">
        <v>2</v>
      </c>
      <c r="B6" s="40" t="s">
        <v>934</v>
      </c>
      <c r="C6" s="87" t="s">
        <v>935</v>
      </c>
      <c r="D6" s="40" t="s">
        <v>933</v>
      </c>
    </row>
    <row r="7" customFormat="false" ht="15" hidden="false" customHeight="false" outlineLevel="0" collapsed="false">
      <c r="A7" s="86" t="n">
        <v>3</v>
      </c>
      <c r="B7" s="40" t="s">
        <v>936</v>
      </c>
      <c r="C7" s="87" t="s">
        <v>937</v>
      </c>
      <c r="D7" s="40" t="s">
        <v>938</v>
      </c>
    </row>
    <row r="8" customFormat="false" ht="15" hidden="false" customHeight="false" outlineLevel="0" collapsed="false">
      <c r="A8" s="86" t="n">
        <v>4</v>
      </c>
      <c r="B8" s="40" t="s">
        <v>939</v>
      </c>
      <c r="C8" s="87" t="s">
        <v>940</v>
      </c>
      <c r="D8" s="40" t="s">
        <v>933</v>
      </c>
    </row>
    <row r="9" customFormat="false" ht="15" hidden="false" customHeight="false" outlineLevel="0" collapsed="false">
      <c r="A9" s="86" t="n">
        <v>5</v>
      </c>
      <c r="B9" s="40" t="s">
        <v>941</v>
      </c>
      <c r="C9" s="87" t="s">
        <v>942</v>
      </c>
      <c r="D9" s="40" t="s">
        <v>933</v>
      </c>
    </row>
    <row r="10" customFormat="false" ht="15" hidden="false" customHeight="false" outlineLevel="0" collapsed="false">
      <c r="A10" s="86" t="n">
        <v>6</v>
      </c>
      <c r="B10" s="40" t="s">
        <v>943</v>
      </c>
      <c r="C10" s="87" t="s">
        <v>944</v>
      </c>
      <c r="D10" s="40" t="s">
        <v>933</v>
      </c>
    </row>
    <row r="11" customFormat="false" ht="15" hidden="false" customHeight="false" outlineLevel="0" collapsed="false">
      <c r="A11" s="86" t="n">
        <v>7</v>
      </c>
      <c r="B11" s="40" t="s">
        <v>945</v>
      </c>
      <c r="C11" s="87" t="s">
        <v>946</v>
      </c>
      <c r="D11" s="40" t="s">
        <v>933</v>
      </c>
    </row>
    <row r="12" customFormat="false" ht="15" hidden="false" customHeight="false" outlineLevel="0" collapsed="false">
      <c r="A12" s="86" t="n">
        <v>8</v>
      </c>
      <c r="B12" s="40" t="s">
        <v>947</v>
      </c>
      <c r="C12" s="87" t="s">
        <v>948</v>
      </c>
      <c r="D12" s="40" t="s">
        <v>933</v>
      </c>
    </row>
    <row r="13" customFormat="false" ht="15" hidden="false" customHeight="false" outlineLevel="0" collapsed="false">
      <c r="A13" s="86" t="n">
        <v>9</v>
      </c>
      <c r="B13" s="40" t="s">
        <v>949</v>
      </c>
      <c r="C13" s="87" t="s">
        <v>950</v>
      </c>
      <c r="D13" s="40" t="s">
        <v>951</v>
      </c>
    </row>
    <row r="14" customFormat="false" ht="15" hidden="false" customHeight="false" outlineLevel="0" collapsed="false">
      <c r="A14" s="86" t="n">
        <v>10</v>
      </c>
      <c r="B14" s="40" t="s">
        <v>952</v>
      </c>
      <c r="C14" s="87" t="s">
        <v>953</v>
      </c>
      <c r="D14" s="40" t="s">
        <v>951</v>
      </c>
    </row>
    <row r="15" customFormat="false" ht="15" hidden="false" customHeight="false" outlineLevel="0" collapsed="false">
      <c r="A15" s="86" t="n">
        <v>11</v>
      </c>
      <c r="B15" s="40" t="s">
        <v>954</v>
      </c>
      <c r="C15" s="87" t="s">
        <v>955</v>
      </c>
      <c r="D15" s="40" t="s">
        <v>956</v>
      </c>
    </row>
    <row r="16" customFormat="false" ht="15" hidden="false" customHeight="false" outlineLevel="0" collapsed="false">
      <c r="A16" s="86" t="n">
        <v>12</v>
      </c>
      <c r="B16" s="40" t="s">
        <v>957</v>
      </c>
      <c r="C16" s="87" t="s">
        <v>958</v>
      </c>
      <c r="D16" s="40" t="s">
        <v>951</v>
      </c>
    </row>
    <row r="17" customFormat="false" ht="15" hidden="false" customHeight="false" outlineLevel="0" collapsed="false">
      <c r="A17" s="86" t="n">
        <v>13</v>
      </c>
      <c r="B17" s="40" t="s">
        <v>959</v>
      </c>
      <c r="C17" s="87" t="s">
        <v>960</v>
      </c>
      <c r="D17" s="40" t="s">
        <v>951</v>
      </c>
    </row>
    <row r="18" customFormat="false" ht="15" hidden="false" customHeight="false" outlineLevel="0" collapsed="false">
      <c r="A18" s="86" t="n">
        <v>14</v>
      </c>
      <c r="B18" s="40" t="s">
        <v>961</v>
      </c>
      <c r="C18" s="87" t="s">
        <v>962</v>
      </c>
      <c r="D18" s="40" t="s">
        <v>956</v>
      </c>
    </row>
    <row r="19" customFormat="false" ht="15" hidden="false" customHeight="false" outlineLevel="0" collapsed="false">
      <c r="A19" s="86" t="n">
        <v>15</v>
      </c>
      <c r="B19" s="40" t="s">
        <v>963</v>
      </c>
      <c r="C19" s="87" t="s">
        <v>565</v>
      </c>
      <c r="D19" s="40" t="s">
        <v>951</v>
      </c>
    </row>
    <row r="20" customFormat="false" ht="15" hidden="false" customHeight="false" outlineLevel="0" collapsed="false">
      <c r="A20" s="86" t="n">
        <v>16</v>
      </c>
      <c r="B20" s="40" t="s">
        <v>964</v>
      </c>
      <c r="C20" s="87" t="s">
        <v>965</v>
      </c>
      <c r="D20" s="40" t="s">
        <v>956</v>
      </c>
    </row>
    <row r="21" customFormat="false" ht="15" hidden="false" customHeight="false" outlineLevel="0" collapsed="false">
      <c r="A21" s="86" t="n">
        <v>17</v>
      </c>
      <c r="B21" s="40" t="s">
        <v>966</v>
      </c>
      <c r="C21" s="87" t="s">
        <v>967</v>
      </c>
      <c r="D21" s="40" t="s">
        <v>956</v>
      </c>
    </row>
    <row r="22" customFormat="false" ht="15" hidden="false" customHeight="false" outlineLevel="0" collapsed="false">
      <c r="A22" s="86" t="n">
        <v>18</v>
      </c>
      <c r="B22" s="40" t="s">
        <v>968</v>
      </c>
      <c r="C22" s="87" t="s">
        <v>969</v>
      </c>
      <c r="D22" s="40" t="s">
        <v>956</v>
      </c>
    </row>
    <row r="23" customFormat="false" ht="15" hidden="false" customHeight="false" outlineLevel="0" collapsed="false">
      <c r="A23" s="86" t="n">
        <v>19</v>
      </c>
      <c r="B23" s="40" t="s">
        <v>970</v>
      </c>
      <c r="C23" s="87" t="s">
        <v>971</v>
      </c>
      <c r="D23" s="40" t="s">
        <v>956</v>
      </c>
    </row>
    <row r="24" customFormat="false" ht="15" hidden="false" customHeight="false" outlineLevel="0" collapsed="false">
      <c r="A24" s="86" t="n">
        <v>20</v>
      </c>
      <c r="B24" s="40" t="s">
        <v>972</v>
      </c>
      <c r="C24" s="87" t="s">
        <v>973</v>
      </c>
      <c r="D24" s="40" t="s">
        <v>956</v>
      </c>
    </row>
    <row r="25" customFormat="false" ht="15" hidden="false" customHeight="false" outlineLevel="0" collapsed="false">
      <c r="A25" s="86" t="n">
        <v>21</v>
      </c>
      <c r="B25" s="40" t="s">
        <v>974</v>
      </c>
      <c r="C25" s="87" t="s">
        <v>975</v>
      </c>
      <c r="D25" s="40" t="s">
        <v>956</v>
      </c>
    </row>
    <row r="26" customFormat="false" ht="15" hidden="false" customHeight="false" outlineLevel="0" collapsed="false">
      <c r="A26" s="86" t="n">
        <v>22</v>
      </c>
      <c r="B26" s="40" t="s">
        <v>976</v>
      </c>
      <c r="C26" s="87" t="s">
        <v>977</v>
      </c>
      <c r="D26" s="40" t="s">
        <v>956</v>
      </c>
    </row>
    <row r="27" customFormat="false" ht="15" hidden="false" customHeight="false" outlineLevel="0" collapsed="false">
      <c r="A27" s="86" t="n">
        <v>23</v>
      </c>
      <c r="B27" s="40" t="s">
        <v>978</v>
      </c>
      <c r="C27" s="87" t="s">
        <v>979</v>
      </c>
      <c r="D27" s="40" t="s">
        <v>956</v>
      </c>
    </row>
    <row r="28" customFormat="false" ht="15" hidden="false" customHeight="false" outlineLevel="0" collapsed="false">
      <c r="A28" s="86" t="n">
        <v>24</v>
      </c>
      <c r="B28" s="40" t="s">
        <v>980</v>
      </c>
      <c r="C28" s="87" t="s">
        <v>981</v>
      </c>
      <c r="D28" s="40" t="s">
        <v>956</v>
      </c>
    </row>
    <row r="29" customFormat="false" ht="15" hidden="false" customHeight="false" outlineLevel="0" collapsed="false">
      <c r="A29" s="86" t="n">
        <v>25</v>
      </c>
      <c r="B29" s="40" t="s">
        <v>982</v>
      </c>
      <c r="C29" s="87" t="s">
        <v>983</v>
      </c>
      <c r="D29" s="40" t="s">
        <v>956</v>
      </c>
    </row>
    <row r="30" customFormat="false" ht="15" hidden="false" customHeight="false" outlineLevel="0" collapsed="false">
      <c r="A30" s="86" t="n">
        <v>26</v>
      </c>
      <c r="B30" s="40" t="s">
        <v>984</v>
      </c>
      <c r="C30" s="87" t="s">
        <v>985</v>
      </c>
      <c r="D30" s="40" t="s">
        <v>956</v>
      </c>
    </row>
    <row r="31" customFormat="false" ht="15" hidden="false" customHeight="false" outlineLevel="0" collapsed="false">
      <c r="A31" s="86" t="n">
        <v>27</v>
      </c>
      <c r="B31" s="40" t="s">
        <v>986</v>
      </c>
      <c r="C31" s="87" t="s">
        <v>987</v>
      </c>
      <c r="D31" s="40" t="s">
        <v>956</v>
      </c>
    </row>
    <row r="32" customFormat="false" ht="15" hidden="false" customHeight="false" outlineLevel="0" collapsed="false">
      <c r="A32" s="86" t="n">
        <v>28</v>
      </c>
      <c r="B32" s="40" t="s">
        <v>988</v>
      </c>
      <c r="C32" s="87" t="s">
        <v>686</v>
      </c>
      <c r="D32" s="40" t="s">
        <v>951</v>
      </c>
    </row>
    <row r="33" customFormat="false" ht="15" hidden="false" customHeight="false" outlineLevel="0" collapsed="false">
      <c r="A33" s="86" t="n">
        <v>29</v>
      </c>
      <c r="B33" s="40" t="s">
        <v>989</v>
      </c>
      <c r="C33" s="87" t="s">
        <v>990</v>
      </c>
      <c r="D33" s="40" t="s">
        <v>951</v>
      </c>
    </row>
    <row r="34" customFormat="false" ht="15" hidden="false" customHeight="false" outlineLevel="0" collapsed="false">
      <c r="A34" s="86" t="n">
        <v>30</v>
      </c>
      <c r="B34" s="40" t="s">
        <v>991</v>
      </c>
      <c r="C34" s="87" t="s">
        <v>992</v>
      </c>
      <c r="D34" s="40" t="s">
        <v>951</v>
      </c>
    </row>
    <row r="35" customFormat="false" ht="15" hidden="false" customHeight="false" outlineLevel="0" collapsed="false">
      <c r="A35" s="86" t="n">
        <v>31</v>
      </c>
      <c r="B35" s="40" t="s">
        <v>993</v>
      </c>
      <c r="C35" s="87" t="s">
        <v>994</v>
      </c>
      <c r="D35" s="40" t="s">
        <v>938</v>
      </c>
    </row>
    <row r="36" customFormat="false" ht="15" hidden="false" customHeight="false" outlineLevel="0" collapsed="false">
      <c r="A36" s="86" t="n">
        <v>32</v>
      </c>
      <c r="B36" s="40" t="s">
        <v>995</v>
      </c>
      <c r="C36" s="87" t="s">
        <v>996</v>
      </c>
      <c r="D36" s="40" t="s">
        <v>938</v>
      </c>
    </row>
    <row r="37" customFormat="false" ht="15" hidden="false" customHeight="false" outlineLevel="0" collapsed="false">
      <c r="A37" s="86" t="n">
        <v>33</v>
      </c>
      <c r="B37" s="40" t="s">
        <v>997</v>
      </c>
      <c r="C37" s="87" t="s">
        <v>998</v>
      </c>
      <c r="D37" s="40" t="s">
        <v>951</v>
      </c>
    </row>
    <row r="38" customFormat="false" ht="15" hidden="false" customHeight="false" outlineLevel="0" collapsed="false">
      <c r="A38" s="86" t="n">
        <v>34</v>
      </c>
      <c r="B38" s="40" t="s">
        <v>999</v>
      </c>
      <c r="C38" s="87" t="s">
        <v>1000</v>
      </c>
      <c r="D38" s="40" t="s">
        <v>951</v>
      </c>
    </row>
    <row r="39" customFormat="false" ht="15" hidden="false" customHeight="false" outlineLevel="0" collapsed="false">
      <c r="A39" s="86" t="n">
        <v>35</v>
      </c>
      <c r="B39" s="40" t="s">
        <v>1001</v>
      </c>
      <c r="C39" s="87" t="s">
        <v>177</v>
      </c>
      <c r="D39" s="40" t="s">
        <v>951</v>
      </c>
    </row>
    <row r="40" customFormat="false" ht="15" hidden="false" customHeight="false" outlineLevel="0" collapsed="false">
      <c r="A40" s="86" t="n">
        <v>36</v>
      </c>
      <c r="B40" s="40" t="s">
        <v>1002</v>
      </c>
      <c r="C40" s="87" t="s">
        <v>1003</v>
      </c>
      <c r="D40" s="40" t="s">
        <v>951</v>
      </c>
    </row>
    <row r="41" customFormat="false" ht="15" hidden="false" customHeight="false" outlineLevel="0" collapsed="false">
      <c r="A41" s="86" t="n">
        <v>37</v>
      </c>
      <c r="B41" s="40" t="s">
        <v>1004</v>
      </c>
      <c r="C41" s="87" t="s">
        <v>1005</v>
      </c>
      <c r="D41" s="40" t="s">
        <v>938</v>
      </c>
    </row>
    <row r="42" customFormat="false" ht="15" hidden="false" customHeight="false" outlineLevel="0" collapsed="false">
      <c r="A42" s="86" t="n">
        <v>38</v>
      </c>
      <c r="B42" s="40" t="s">
        <v>1006</v>
      </c>
      <c r="C42" s="87" t="s">
        <v>1007</v>
      </c>
      <c r="D42" s="40" t="s">
        <v>938</v>
      </c>
    </row>
    <row r="43" customFormat="false" ht="15" hidden="false" customHeight="false" outlineLevel="0" collapsed="false">
      <c r="A43" s="86" t="n">
        <v>39</v>
      </c>
      <c r="B43" s="40" t="s">
        <v>1008</v>
      </c>
      <c r="C43" s="87" t="s">
        <v>1009</v>
      </c>
      <c r="D43" s="40" t="s">
        <v>1010</v>
      </c>
    </row>
    <row r="44" customFormat="false" ht="15" hidden="false" customHeight="false" outlineLevel="0" collapsed="false">
      <c r="A44" s="86" t="n">
        <v>40</v>
      </c>
      <c r="B44" s="40" t="s">
        <v>1011</v>
      </c>
      <c r="C44" s="87" t="s">
        <v>1012</v>
      </c>
      <c r="D44" s="40" t="s">
        <v>951</v>
      </c>
    </row>
    <row r="45" customFormat="false" ht="15" hidden="false" customHeight="false" outlineLevel="0" collapsed="false">
      <c r="A45" s="86" t="n">
        <v>41</v>
      </c>
      <c r="B45" s="40" t="s">
        <v>1013</v>
      </c>
      <c r="C45" s="87" t="s">
        <v>192</v>
      </c>
      <c r="D45" s="40" t="s">
        <v>951</v>
      </c>
    </row>
    <row r="46" customFormat="false" ht="15" hidden="false" customHeight="false" outlineLevel="0" collapsed="false">
      <c r="A46" s="86" t="n">
        <v>42</v>
      </c>
      <c r="B46" s="40" t="s">
        <v>1014</v>
      </c>
      <c r="C46" s="87" t="s">
        <v>670</v>
      </c>
      <c r="D46" s="40" t="s">
        <v>951</v>
      </c>
    </row>
    <row r="47" customFormat="false" ht="15" hidden="false" customHeight="false" outlineLevel="0" collapsed="false">
      <c r="A47" s="86" t="n">
        <v>43</v>
      </c>
      <c r="B47" s="40" t="s">
        <v>1015</v>
      </c>
      <c r="C47" s="87" t="s">
        <v>666</v>
      </c>
      <c r="D47" s="40" t="s">
        <v>951</v>
      </c>
    </row>
    <row r="48" customFormat="false" ht="15" hidden="false" customHeight="false" outlineLevel="0" collapsed="false">
      <c r="A48" s="86" t="n">
        <v>44</v>
      </c>
      <c r="B48" s="40" t="s">
        <v>1016</v>
      </c>
      <c r="C48" s="87" t="s">
        <v>1017</v>
      </c>
      <c r="D48" s="40" t="s">
        <v>938</v>
      </c>
    </row>
    <row r="49" customFormat="false" ht="15" hidden="false" customHeight="false" outlineLevel="0" collapsed="false">
      <c r="A49" s="86" t="n">
        <v>45</v>
      </c>
      <c r="B49" s="40" t="s">
        <v>1018</v>
      </c>
      <c r="C49" s="87" t="s">
        <v>660</v>
      </c>
      <c r="D49" s="40" t="s">
        <v>951</v>
      </c>
    </row>
    <row r="50" customFormat="false" ht="15" hidden="false" customHeight="false" outlineLevel="0" collapsed="false">
      <c r="A50" s="86" t="n">
        <v>46</v>
      </c>
      <c r="B50" s="40" t="s">
        <v>1019</v>
      </c>
      <c r="C50" s="87" t="s">
        <v>1020</v>
      </c>
      <c r="D50" s="40" t="s">
        <v>938</v>
      </c>
    </row>
    <row r="51" customFormat="false" ht="15" hidden="false" customHeight="false" outlineLevel="0" collapsed="false">
      <c r="A51" s="86" t="n">
        <v>47</v>
      </c>
      <c r="B51" s="40" t="s">
        <v>1021</v>
      </c>
      <c r="C51" s="87" t="s">
        <v>220</v>
      </c>
      <c r="D51" s="40" t="s">
        <v>956</v>
      </c>
    </row>
    <row r="52" customFormat="false" ht="15" hidden="false" customHeight="false" outlineLevel="0" collapsed="false">
      <c r="A52" s="86" t="n">
        <v>48</v>
      </c>
      <c r="B52" s="40" t="s">
        <v>1022</v>
      </c>
      <c r="C52" s="87" t="s">
        <v>1023</v>
      </c>
      <c r="D52" s="40" t="s">
        <v>951</v>
      </c>
    </row>
    <row r="53" customFormat="false" ht="15" hidden="false" customHeight="false" outlineLevel="0" collapsed="false">
      <c r="A53" s="86" t="n">
        <v>49</v>
      </c>
      <c r="B53" s="40" t="s">
        <v>1024</v>
      </c>
      <c r="C53" s="87" t="s">
        <v>1025</v>
      </c>
      <c r="D53" s="40" t="s">
        <v>938</v>
      </c>
    </row>
    <row r="54" customFormat="false" ht="15" hidden="false" customHeight="false" outlineLevel="0" collapsed="false">
      <c r="A54" s="86" t="n">
        <v>50</v>
      </c>
      <c r="B54" s="40" t="s">
        <v>1026</v>
      </c>
      <c r="C54" s="87" t="s">
        <v>229</v>
      </c>
      <c r="D54" s="40" t="s">
        <v>951</v>
      </c>
    </row>
    <row r="55" customFormat="false" ht="15" hidden="false" customHeight="false" outlineLevel="0" collapsed="false">
      <c r="A55" s="86" t="n">
        <v>51</v>
      </c>
      <c r="B55" s="40" t="s">
        <v>1027</v>
      </c>
      <c r="C55" s="87" t="s">
        <v>1028</v>
      </c>
      <c r="D55" s="40" t="s">
        <v>951</v>
      </c>
    </row>
    <row r="56" customFormat="false" ht="15" hidden="false" customHeight="false" outlineLevel="0" collapsed="false">
      <c r="A56" s="86" t="n">
        <v>52</v>
      </c>
      <c r="B56" s="40" t="s">
        <v>1029</v>
      </c>
      <c r="C56" s="87" t="s">
        <v>1030</v>
      </c>
      <c r="D56" s="40" t="s">
        <v>951</v>
      </c>
    </row>
    <row r="57" customFormat="false" ht="15" hidden="false" customHeight="false" outlineLevel="0" collapsed="false">
      <c r="A57" s="86" t="n">
        <v>53</v>
      </c>
      <c r="B57" s="40" t="s">
        <v>1031</v>
      </c>
      <c r="C57" s="87" t="s">
        <v>238</v>
      </c>
      <c r="D57" s="40" t="s">
        <v>938</v>
      </c>
    </row>
    <row r="58" customFormat="false" ht="15" hidden="false" customHeight="false" outlineLevel="0" collapsed="false">
      <c r="A58" s="86" t="n">
        <v>54</v>
      </c>
      <c r="B58" s="40" t="s">
        <v>1032</v>
      </c>
      <c r="C58" s="87" t="s">
        <v>410</v>
      </c>
      <c r="D58" s="40" t="s">
        <v>938</v>
      </c>
    </row>
    <row r="59" customFormat="false" ht="15" hidden="false" customHeight="false" outlineLevel="0" collapsed="false">
      <c r="A59" s="86" t="n">
        <v>55</v>
      </c>
      <c r="B59" s="40" t="s">
        <v>1033</v>
      </c>
      <c r="C59" s="87" t="s">
        <v>404</v>
      </c>
      <c r="D59" s="40" t="s">
        <v>938</v>
      </c>
    </row>
    <row r="60" customFormat="false" ht="15" hidden="false" customHeight="false" outlineLevel="0" collapsed="false">
      <c r="A60" s="86" t="n">
        <v>56</v>
      </c>
      <c r="B60" s="40" t="s">
        <v>1034</v>
      </c>
      <c r="C60" s="87" t="s">
        <v>251</v>
      </c>
      <c r="D60" s="40" t="s">
        <v>951</v>
      </c>
    </row>
    <row r="61" customFormat="false" ht="15" hidden="false" customHeight="false" outlineLevel="0" collapsed="false">
      <c r="A61" s="86" t="n">
        <v>57</v>
      </c>
      <c r="B61" s="40" t="s">
        <v>1035</v>
      </c>
      <c r="C61" s="87" t="s">
        <v>258</v>
      </c>
      <c r="D61" s="40" t="s">
        <v>951</v>
      </c>
    </row>
    <row r="62" customFormat="false" ht="15" hidden="false" customHeight="false" outlineLevel="0" collapsed="false">
      <c r="A62" s="86" t="n">
        <v>58</v>
      </c>
      <c r="B62" s="40" t="s">
        <v>1036</v>
      </c>
      <c r="C62" s="87" t="s">
        <v>266</v>
      </c>
      <c r="D62" s="40" t="s">
        <v>951</v>
      </c>
    </row>
    <row r="63" customFormat="false" ht="15" hidden="false" customHeight="false" outlineLevel="0" collapsed="false">
      <c r="A63" s="86" t="n">
        <v>59</v>
      </c>
      <c r="B63" s="40" t="s">
        <v>1037</v>
      </c>
      <c r="C63" s="87" t="s">
        <v>1038</v>
      </c>
      <c r="D63" s="40" t="s">
        <v>951</v>
      </c>
    </row>
    <row r="64" customFormat="false" ht="15" hidden="false" customHeight="false" outlineLevel="0" collapsed="false">
      <c r="A64" s="86" t="n">
        <v>60</v>
      </c>
      <c r="B64" s="40" t="s">
        <v>1039</v>
      </c>
      <c r="C64" s="87" t="s">
        <v>1040</v>
      </c>
      <c r="D64" s="40" t="s">
        <v>938</v>
      </c>
    </row>
    <row r="65" customFormat="false" ht="15" hidden="false" customHeight="false" outlineLevel="0" collapsed="false">
      <c r="A65" s="86" t="n">
        <v>61</v>
      </c>
      <c r="B65" s="40" t="s">
        <v>1041</v>
      </c>
      <c r="C65" s="87" t="s">
        <v>285</v>
      </c>
      <c r="D65" s="40" t="s">
        <v>938</v>
      </c>
    </row>
    <row r="66" customFormat="false" ht="15" hidden="false" customHeight="false" outlineLevel="0" collapsed="false">
      <c r="A66" s="86" t="n">
        <v>62</v>
      </c>
      <c r="B66" s="40" t="s">
        <v>1042</v>
      </c>
      <c r="C66" s="87" t="s">
        <v>292</v>
      </c>
      <c r="D66" s="40" t="s">
        <v>951</v>
      </c>
    </row>
    <row r="67" customFormat="false" ht="15" hidden="false" customHeight="false" outlineLevel="0" collapsed="false">
      <c r="A67" s="86" t="n">
        <v>63</v>
      </c>
      <c r="B67" s="40" t="s">
        <v>1043</v>
      </c>
      <c r="C67" s="87" t="s">
        <v>299</v>
      </c>
      <c r="D67" s="40" t="s">
        <v>951</v>
      </c>
    </row>
    <row r="68" customFormat="false" ht="15" hidden="false" customHeight="false" outlineLevel="0" collapsed="false">
      <c r="A68" s="86" t="n">
        <v>64</v>
      </c>
      <c r="B68" s="40" t="s">
        <v>1044</v>
      </c>
      <c r="C68" s="87" t="s">
        <v>1045</v>
      </c>
      <c r="D68" s="40" t="s">
        <v>951</v>
      </c>
    </row>
    <row r="69" customFormat="false" ht="15" hidden="false" customHeight="false" outlineLevel="0" collapsed="false">
      <c r="A69" s="86" t="n">
        <v>65</v>
      </c>
      <c r="B69" s="40" t="s">
        <v>1046</v>
      </c>
      <c r="C69" s="87" t="s">
        <v>1047</v>
      </c>
      <c r="D69" s="40" t="s">
        <v>951</v>
      </c>
    </row>
    <row r="70" customFormat="false" ht="15" hidden="false" customHeight="false" outlineLevel="0" collapsed="false">
      <c r="A70" s="86" t="n">
        <v>66</v>
      </c>
      <c r="B70" s="40" t="s">
        <v>1048</v>
      </c>
      <c r="C70" s="87" t="s">
        <v>314</v>
      </c>
      <c r="D70" s="40" t="s">
        <v>951</v>
      </c>
    </row>
    <row r="71" customFormat="false" ht="15" hidden="false" customHeight="false" outlineLevel="0" collapsed="false">
      <c r="A71" s="86" t="n">
        <v>67</v>
      </c>
      <c r="B71" s="40" t="s">
        <v>1049</v>
      </c>
      <c r="C71" s="87" t="s">
        <v>322</v>
      </c>
      <c r="D71" s="40" t="s">
        <v>951</v>
      </c>
    </row>
    <row r="72" customFormat="false" ht="15" hidden="false" customHeight="false" outlineLevel="0" collapsed="false">
      <c r="A72" s="86" t="n">
        <v>68</v>
      </c>
      <c r="B72" s="40" t="s">
        <v>1050</v>
      </c>
      <c r="C72" s="87" t="s">
        <v>1051</v>
      </c>
      <c r="D72" s="40" t="s">
        <v>951</v>
      </c>
    </row>
    <row r="73" customFormat="false" ht="15" hidden="false" customHeight="false" outlineLevel="0" collapsed="false">
      <c r="A73" s="86" t="n">
        <v>69</v>
      </c>
      <c r="B73" s="40" t="s">
        <v>1052</v>
      </c>
      <c r="C73" s="87" t="s">
        <v>1053</v>
      </c>
      <c r="D73" s="40" t="s">
        <v>951</v>
      </c>
    </row>
    <row r="74" customFormat="false" ht="15" hidden="false" customHeight="false" outlineLevel="0" collapsed="false">
      <c r="A74" s="86" t="n">
        <v>70</v>
      </c>
      <c r="B74" s="40" t="s">
        <v>1054</v>
      </c>
      <c r="C74" s="87" t="s">
        <v>1055</v>
      </c>
      <c r="D74" s="40" t="s">
        <v>951</v>
      </c>
    </row>
    <row r="75" customFormat="false" ht="15" hidden="false" customHeight="false" outlineLevel="0" collapsed="false">
      <c r="A75" s="86" t="n">
        <v>71</v>
      </c>
      <c r="B75" s="40" t="s">
        <v>1056</v>
      </c>
      <c r="C75" s="87" t="s">
        <v>1057</v>
      </c>
      <c r="D75" s="40" t="s">
        <v>951</v>
      </c>
    </row>
    <row r="76" customFormat="false" ht="15" hidden="false" customHeight="false" outlineLevel="0" collapsed="false">
      <c r="A76" s="86" t="n">
        <v>72</v>
      </c>
      <c r="B76" s="40" t="s">
        <v>1058</v>
      </c>
      <c r="C76" s="87" t="s">
        <v>1059</v>
      </c>
      <c r="D76" s="40" t="s">
        <v>938</v>
      </c>
    </row>
    <row r="77" customFormat="false" ht="15" hidden="false" customHeight="false" outlineLevel="0" collapsed="false">
      <c r="A77" s="86" t="n">
        <v>73</v>
      </c>
      <c r="B77" s="40" t="s">
        <v>1060</v>
      </c>
      <c r="C77" s="87" t="s">
        <v>521</v>
      </c>
      <c r="D77" s="40" t="s">
        <v>956</v>
      </c>
    </row>
    <row r="78" customFormat="false" ht="15" hidden="false" customHeight="false" outlineLevel="0" collapsed="false">
      <c r="A78" s="86" t="n">
        <v>74</v>
      </c>
      <c r="B78" s="40" t="s">
        <v>1061</v>
      </c>
      <c r="C78" s="87" t="s">
        <v>1062</v>
      </c>
      <c r="D78" s="40" t="s">
        <v>956</v>
      </c>
    </row>
    <row r="79" customFormat="false" ht="15" hidden="false" customHeight="false" outlineLevel="0" collapsed="false">
      <c r="A79" s="86" t="n">
        <v>75</v>
      </c>
      <c r="B79" s="40" t="s">
        <v>1063</v>
      </c>
      <c r="C79" s="87" t="s">
        <v>1064</v>
      </c>
      <c r="D79" s="40" t="s">
        <v>956</v>
      </c>
    </row>
    <row r="80" customFormat="false" ht="15" hidden="false" customHeight="false" outlineLevel="0" collapsed="false">
      <c r="A80" s="86" t="n">
        <v>76</v>
      </c>
      <c r="B80" s="40" t="s">
        <v>1065</v>
      </c>
      <c r="C80" s="87" t="s">
        <v>1066</v>
      </c>
      <c r="D80" s="40" t="s">
        <v>956</v>
      </c>
    </row>
    <row r="81" customFormat="false" ht="15" hidden="false" customHeight="false" outlineLevel="0" collapsed="false">
      <c r="A81" s="86" t="n">
        <v>77</v>
      </c>
      <c r="B81" s="40" t="s">
        <v>1067</v>
      </c>
      <c r="C81" s="87" t="s">
        <v>1068</v>
      </c>
      <c r="D81" s="40" t="s">
        <v>956</v>
      </c>
    </row>
    <row r="82" customFormat="false" ht="15" hidden="false" customHeight="false" outlineLevel="0" collapsed="false">
      <c r="A82" s="86" t="n">
        <v>78</v>
      </c>
      <c r="B82" s="40" t="s">
        <v>1069</v>
      </c>
      <c r="C82" s="87" t="s">
        <v>681</v>
      </c>
      <c r="D82" s="40" t="s">
        <v>956</v>
      </c>
    </row>
    <row r="83" customFormat="false" ht="15" hidden="false" customHeight="false" outlineLevel="0" collapsed="false">
      <c r="A83" s="86" t="n">
        <v>79</v>
      </c>
      <c r="B83" s="40" t="s">
        <v>1070</v>
      </c>
      <c r="C83" s="87" t="s">
        <v>587</v>
      </c>
      <c r="D83" s="40" t="s">
        <v>951</v>
      </c>
    </row>
    <row r="84" customFormat="false" ht="15" hidden="false" customHeight="false" outlineLevel="0" collapsed="false">
      <c r="A84" s="86" t="n">
        <v>80</v>
      </c>
      <c r="B84" s="40" t="s">
        <v>1071</v>
      </c>
      <c r="C84" s="87" t="s">
        <v>1072</v>
      </c>
      <c r="D84" s="40" t="s">
        <v>951</v>
      </c>
    </row>
    <row r="85" customFormat="false" ht="15" hidden="false" customHeight="false" outlineLevel="0" collapsed="false">
      <c r="A85" s="86" t="n">
        <v>81</v>
      </c>
      <c r="B85" s="40" t="s">
        <v>1073</v>
      </c>
      <c r="C85" s="87" t="s">
        <v>386</v>
      </c>
      <c r="D85" s="40" t="s">
        <v>956</v>
      </c>
    </row>
    <row r="86" customFormat="false" ht="15" hidden="false" customHeight="false" outlineLevel="0" collapsed="false">
      <c r="A86" s="86" t="n">
        <v>82</v>
      </c>
      <c r="B86" s="40" t="s">
        <v>1074</v>
      </c>
      <c r="C86" s="87" t="s">
        <v>1075</v>
      </c>
      <c r="D86" s="40" t="s">
        <v>956</v>
      </c>
    </row>
    <row r="87" customFormat="false" ht="15" hidden="false" customHeight="false" outlineLevel="0" collapsed="false">
      <c r="A87" s="86" t="n">
        <v>83</v>
      </c>
      <c r="B87" s="40" t="s">
        <v>1076</v>
      </c>
      <c r="C87" s="87" t="s">
        <v>1077</v>
      </c>
      <c r="D87" s="40" t="s">
        <v>956</v>
      </c>
    </row>
    <row r="88" customFormat="false" ht="15" hidden="false" customHeight="false" outlineLevel="0" collapsed="false">
      <c r="A88" s="86" t="n">
        <v>84</v>
      </c>
      <c r="B88" s="40" t="s">
        <v>1078</v>
      </c>
      <c r="C88" s="87" t="s">
        <v>1079</v>
      </c>
      <c r="D88" s="40" t="s">
        <v>951</v>
      </c>
    </row>
    <row r="89" customFormat="false" ht="15" hidden="false" customHeight="false" outlineLevel="0" collapsed="false">
      <c r="A89" s="86" t="n">
        <v>85</v>
      </c>
      <c r="B89" s="40" t="s">
        <v>1080</v>
      </c>
      <c r="C89" s="87" t="s">
        <v>1081</v>
      </c>
      <c r="D89" s="40" t="s">
        <v>956</v>
      </c>
    </row>
    <row r="90" customFormat="false" ht="15" hidden="false" customHeight="false" outlineLevel="0" collapsed="false">
      <c r="A90" s="86" t="n">
        <v>86</v>
      </c>
      <c r="B90" s="40" t="s">
        <v>1082</v>
      </c>
      <c r="C90" s="87" t="s">
        <v>427</v>
      </c>
      <c r="D90" s="40" t="s">
        <v>956</v>
      </c>
    </row>
    <row r="91" customFormat="false" ht="15" hidden="false" customHeight="false" outlineLevel="0" collapsed="false">
      <c r="A91" s="86" t="n">
        <v>87</v>
      </c>
      <c r="B91" s="40" t="s">
        <v>1083</v>
      </c>
      <c r="C91" s="87" t="s">
        <v>482</v>
      </c>
      <c r="D91" s="40" t="s">
        <v>956</v>
      </c>
    </row>
    <row r="92" customFormat="false" ht="15" hidden="false" customHeight="false" outlineLevel="0" collapsed="false">
      <c r="A92" s="86" t="n">
        <v>88</v>
      </c>
      <c r="B92" s="40" t="s">
        <v>1084</v>
      </c>
      <c r="C92" s="87" t="s">
        <v>490</v>
      </c>
      <c r="D92" s="40" t="s">
        <v>951</v>
      </c>
    </row>
    <row r="93" customFormat="false" ht="15" hidden="false" customHeight="false" outlineLevel="0" collapsed="false">
      <c r="A93" s="86" t="n">
        <v>89</v>
      </c>
      <c r="B93" s="40" t="s">
        <v>1085</v>
      </c>
      <c r="C93" s="87" t="s">
        <v>506</v>
      </c>
      <c r="D93" s="40" t="s">
        <v>951</v>
      </c>
    </row>
    <row r="94" customFormat="false" ht="15" hidden="false" customHeight="false" outlineLevel="0" collapsed="false">
      <c r="A94" s="86" t="n">
        <v>90</v>
      </c>
      <c r="B94" s="40" t="s">
        <v>1086</v>
      </c>
      <c r="C94" s="87" t="s">
        <v>535</v>
      </c>
      <c r="D94" s="40" t="s">
        <v>956</v>
      </c>
    </row>
    <row r="95" customFormat="false" ht="15" hidden="false" customHeight="false" outlineLevel="0" collapsed="false">
      <c r="A95" s="86" t="n">
        <v>91</v>
      </c>
      <c r="B95" s="40" t="s">
        <v>1087</v>
      </c>
      <c r="C95" s="87" t="s">
        <v>581</v>
      </c>
      <c r="D95" s="40" t="s">
        <v>951</v>
      </c>
    </row>
    <row r="96" customFormat="false" ht="15" hidden="false" customHeight="false" outlineLevel="0" collapsed="false">
      <c r="A96" s="86" t="n">
        <v>92</v>
      </c>
      <c r="B96" s="40" t="s">
        <v>1088</v>
      </c>
      <c r="C96" s="87" t="s">
        <v>596</v>
      </c>
      <c r="D96" s="40" t="s">
        <v>951</v>
      </c>
    </row>
    <row r="97" customFormat="false" ht="15" hidden="false" customHeight="false" outlineLevel="0" collapsed="false">
      <c r="A97" s="86" t="n">
        <v>93</v>
      </c>
      <c r="B97" s="40" t="s">
        <v>1089</v>
      </c>
      <c r="C97" s="87" t="s">
        <v>618</v>
      </c>
      <c r="D97" s="40" t="s">
        <v>956</v>
      </c>
    </row>
    <row r="98" customFormat="false" ht="15" hidden="false" customHeight="false" outlineLevel="0" collapsed="false">
      <c r="A98" s="86" t="n">
        <v>94</v>
      </c>
      <c r="B98" s="40" t="s">
        <v>1090</v>
      </c>
      <c r="C98" s="87" t="s">
        <v>642</v>
      </c>
      <c r="D98" s="40" t="s">
        <v>951</v>
      </c>
    </row>
    <row r="99" customFormat="false" ht="15" hidden="false" customHeight="false" outlineLevel="0" collapsed="false">
      <c r="A99" s="86" t="n">
        <v>95</v>
      </c>
      <c r="B99" s="40" t="s">
        <v>1091</v>
      </c>
      <c r="C99" s="87" t="s">
        <v>655</v>
      </c>
      <c r="D99" s="40" t="s">
        <v>951</v>
      </c>
    </row>
    <row r="100" customFormat="false" ht="15" hidden="false" customHeight="false" outlineLevel="0" collapsed="false">
      <c r="A100" s="86" t="n">
        <v>96</v>
      </c>
      <c r="B100" s="40" t="s">
        <v>1092</v>
      </c>
      <c r="C100" s="87" t="s">
        <v>676</v>
      </c>
      <c r="D100" s="40" t="s">
        <v>951</v>
      </c>
    </row>
    <row r="101" customFormat="false" ht="15" hidden="false" customHeight="false" outlineLevel="0" collapsed="false">
      <c r="A101" s="86" t="n">
        <v>97</v>
      </c>
      <c r="B101" s="40" t="s">
        <v>1093</v>
      </c>
      <c r="C101" s="87" t="s">
        <v>559</v>
      </c>
      <c r="D101" s="40" t="s">
        <v>951</v>
      </c>
    </row>
    <row r="102" customFormat="false" ht="15" hidden="false" customHeight="false" outlineLevel="0" collapsed="false">
      <c r="A102" s="86" t="n">
        <v>98</v>
      </c>
      <c r="B102" s="40" t="s">
        <v>1094</v>
      </c>
      <c r="C102" s="87" t="s">
        <v>1095</v>
      </c>
      <c r="D102" s="40" t="s">
        <v>956</v>
      </c>
    </row>
    <row r="103" customFormat="false" ht="15" hidden="false" customHeight="false" outlineLevel="0" collapsed="false">
      <c r="A103" s="86" t="n">
        <v>99</v>
      </c>
      <c r="B103" s="40" t="s">
        <v>1096</v>
      </c>
      <c r="C103" s="87" t="s">
        <v>543</v>
      </c>
      <c r="D103" s="40" t="s">
        <v>956</v>
      </c>
    </row>
    <row r="104" customFormat="false" ht="15" hidden="false" customHeight="false" outlineLevel="0" collapsed="false">
      <c r="A104" s="86" t="n">
        <v>100</v>
      </c>
      <c r="B104" s="40" t="s">
        <v>1097</v>
      </c>
      <c r="C104" s="87" t="s">
        <v>1098</v>
      </c>
      <c r="D104" s="40" t="s">
        <v>951</v>
      </c>
    </row>
    <row r="105" customFormat="false" ht="15" hidden="false" customHeight="false" outlineLevel="0" collapsed="false">
      <c r="A105" s="86" t="n">
        <v>101</v>
      </c>
      <c r="B105" s="40" t="s">
        <v>1099</v>
      </c>
      <c r="C105" s="87" t="s">
        <v>1100</v>
      </c>
      <c r="D105" s="40" t="s">
        <v>951</v>
      </c>
    </row>
    <row r="106" customFormat="false" ht="15" hidden="false" customHeight="false" outlineLevel="0" collapsed="false">
      <c r="A106" s="86" t="n">
        <v>102</v>
      </c>
      <c r="B106" s="40" t="s">
        <v>1101</v>
      </c>
      <c r="C106" s="87" t="s">
        <v>1102</v>
      </c>
      <c r="D106" s="40" t="s">
        <v>951</v>
      </c>
    </row>
    <row r="107" customFormat="false" ht="15" hidden="false" customHeight="false" outlineLevel="0" collapsed="false">
      <c r="A107" s="86" t="n">
        <v>103</v>
      </c>
      <c r="B107" s="40" t="s">
        <v>1103</v>
      </c>
      <c r="C107" s="87" t="s">
        <v>1104</v>
      </c>
      <c r="D107" s="40" t="s">
        <v>933</v>
      </c>
    </row>
    <row r="108" customFormat="false" ht="15" hidden="false" customHeight="false" outlineLevel="0" collapsed="false">
      <c r="A108" s="86" t="n">
        <v>104</v>
      </c>
      <c r="B108" s="40" t="s">
        <v>1105</v>
      </c>
      <c r="C108" s="87" t="s">
        <v>1106</v>
      </c>
      <c r="D108" s="40" t="s">
        <v>956</v>
      </c>
    </row>
    <row r="109" customFormat="false" ht="15" hidden="false" customHeight="false" outlineLevel="0" collapsed="false">
      <c r="A109" s="86" t="n">
        <v>105</v>
      </c>
      <c r="B109" s="40" t="s">
        <v>1107</v>
      </c>
      <c r="C109" s="87" t="s">
        <v>1108</v>
      </c>
      <c r="D109" s="40" t="s">
        <v>956</v>
      </c>
    </row>
    <row r="110" customFormat="false" ht="15" hidden="false" customHeight="false" outlineLevel="0" collapsed="false">
      <c r="A110" s="86" t="n">
        <v>106</v>
      </c>
      <c r="B110" s="40" t="s">
        <v>1109</v>
      </c>
      <c r="C110" s="87" t="s">
        <v>1110</v>
      </c>
      <c r="D110" s="40" t="s">
        <v>933</v>
      </c>
    </row>
    <row r="111" customFormat="false" ht="15" hidden="false" customHeight="false" outlineLevel="0" collapsed="false">
      <c r="A111" s="86" t="n">
        <v>107</v>
      </c>
      <c r="B111" s="40" t="s">
        <v>1111</v>
      </c>
      <c r="C111" s="87" t="s">
        <v>1112</v>
      </c>
      <c r="D111" s="40" t="s">
        <v>933</v>
      </c>
    </row>
    <row r="112" customFormat="false" ht="15" hidden="false" customHeight="false" outlineLevel="0" collapsed="false">
      <c r="A112" s="86" t="n">
        <v>108</v>
      </c>
      <c r="B112" s="40" t="s">
        <v>1113</v>
      </c>
      <c r="C112" s="87" t="s">
        <v>1114</v>
      </c>
      <c r="D112" s="40" t="s">
        <v>951</v>
      </c>
    </row>
    <row r="113" customFormat="false" ht="15" hidden="false" customHeight="false" outlineLevel="0" collapsed="false">
      <c r="A113" s="86" t="n">
        <v>109</v>
      </c>
      <c r="B113" s="40" t="s">
        <v>1115</v>
      </c>
      <c r="C113" s="87" t="s">
        <v>1116</v>
      </c>
      <c r="D113" s="40" t="s">
        <v>951</v>
      </c>
    </row>
    <row r="114" customFormat="false" ht="15" hidden="false" customHeight="false" outlineLevel="0" collapsed="false">
      <c r="A114" s="86" t="n">
        <v>110</v>
      </c>
      <c r="B114" s="40" t="s">
        <v>1117</v>
      </c>
      <c r="C114" s="87" t="s">
        <v>1118</v>
      </c>
      <c r="D114" s="40" t="s">
        <v>933</v>
      </c>
    </row>
    <row r="115" customFormat="false" ht="15" hidden="false" customHeight="false" outlineLevel="0" collapsed="false">
      <c r="A115" s="86" t="n">
        <v>111</v>
      </c>
      <c r="B115" s="40" t="s">
        <v>1119</v>
      </c>
      <c r="C115" s="87" t="s">
        <v>1120</v>
      </c>
      <c r="D115" s="40" t="s">
        <v>951</v>
      </c>
    </row>
    <row r="116" customFormat="false" ht="15" hidden="false" customHeight="false" outlineLevel="0" collapsed="false">
      <c r="A116" s="86" t="n">
        <v>112</v>
      </c>
      <c r="B116" s="40" t="s">
        <v>1121</v>
      </c>
      <c r="C116" s="87" t="s">
        <v>1122</v>
      </c>
      <c r="D116" s="40" t="s">
        <v>951</v>
      </c>
    </row>
    <row r="117" customFormat="false" ht="15" hidden="false" customHeight="false" outlineLevel="0" collapsed="false">
      <c r="A117" s="86" t="n">
        <v>113</v>
      </c>
      <c r="B117" s="40" t="s">
        <v>1123</v>
      </c>
      <c r="C117" s="87" t="s">
        <v>1124</v>
      </c>
      <c r="D117" s="40" t="s">
        <v>956</v>
      </c>
    </row>
    <row r="118" customFormat="false" ht="15" hidden="false" customHeight="false" outlineLevel="0" collapsed="false">
      <c r="A118" s="86" t="n">
        <v>114</v>
      </c>
      <c r="B118" s="40" t="s">
        <v>1125</v>
      </c>
      <c r="C118" s="87" t="s">
        <v>1126</v>
      </c>
      <c r="D118" s="40" t="s">
        <v>956</v>
      </c>
    </row>
    <row r="119" customFormat="false" ht="15" hidden="false" customHeight="false" outlineLevel="0" collapsed="false">
      <c r="A119" s="86" t="n">
        <v>115</v>
      </c>
      <c r="B119" s="40" t="s">
        <v>1127</v>
      </c>
      <c r="C119" s="87" t="s">
        <v>1128</v>
      </c>
      <c r="D119" s="40" t="s">
        <v>956</v>
      </c>
    </row>
    <row r="120" customFormat="false" ht="15" hidden="false" customHeight="false" outlineLevel="0" collapsed="false">
      <c r="A120" s="86" t="n">
        <v>116</v>
      </c>
      <c r="B120" s="40" t="s">
        <v>1129</v>
      </c>
      <c r="C120" s="87" t="s">
        <v>1130</v>
      </c>
      <c r="D120" s="40" t="s">
        <v>951</v>
      </c>
    </row>
    <row r="121" customFormat="false" ht="15" hidden="false" customHeight="false" outlineLevel="0" collapsed="false">
      <c r="A121" s="86" t="n">
        <v>117</v>
      </c>
      <c r="B121" s="40" t="s">
        <v>1131</v>
      </c>
      <c r="C121" s="87" t="s">
        <v>1132</v>
      </c>
      <c r="D121" s="40" t="s">
        <v>951</v>
      </c>
    </row>
    <row r="122" customFormat="false" ht="15" hidden="false" customHeight="false" outlineLevel="0" collapsed="false">
      <c r="A122" s="86" t="n">
        <v>118</v>
      </c>
      <c r="B122" s="40" t="s">
        <v>1133</v>
      </c>
      <c r="C122" s="87" t="s">
        <v>1134</v>
      </c>
      <c r="D122" s="40" t="s">
        <v>1135</v>
      </c>
    </row>
    <row r="123" customFormat="false" ht="15" hidden="false" customHeight="false" outlineLevel="0" collapsed="false">
      <c r="A123" s="86" t="n">
        <v>119</v>
      </c>
      <c r="B123" s="40" t="s">
        <v>1136</v>
      </c>
      <c r="C123" s="87" t="s">
        <v>1137</v>
      </c>
      <c r="D123" s="40" t="s">
        <v>956</v>
      </c>
    </row>
    <row r="124" customFormat="false" ht="15" hidden="false" customHeight="false" outlineLevel="0" collapsed="false">
      <c r="A124" s="86" t="n">
        <v>120</v>
      </c>
      <c r="B124" s="40" t="s">
        <v>1138</v>
      </c>
      <c r="C124" s="87" t="s">
        <v>1139</v>
      </c>
      <c r="D124" s="40" t="s">
        <v>956</v>
      </c>
    </row>
    <row r="125" customFormat="false" ht="15" hidden="false" customHeight="false" outlineLevel="0" collapsed="false">
      <c r="A125" s="86" t="n">
        <v>121</v>
      </c>
      <c r="B125" s="40" t="s">
        <v>1140</v>
      </c>
      <c r="C125" s="87" t="s">
        <v>1141</v>
      </c>
      <c r="D125" s="40" t="s">
        <v>938</v>
      </c>
    </row>
    <row r="126" customFormat="false" ht="15" hidden="false" customHeight="false" outlineLevel="0" collapsed="false">
      <c r="A126" s="86" t="n">
        <v>122</v>
      </c>
      <c r="B126" s="40" t="s">
        <v>1142</v>
      </c>
      <c r="C126" s="87" t="s">
        <v>1143</v>
      </c>
      <c r="D126" s="40" t="s">
        <v>938</v>
      </c>
    </row>
    <row r="127" customFormat="false" ht="15" hidden="false" customHeight="false" outlineLevel="0" collapsed="false">
      <c r="A127" s="86" t="n">
        <v>123</v>
      </c>
      <c r="B127" s="40" t="s">
        <v>1144</v>
      </c>
      <c r="C127" s="87" t="s">
        <v>1145</v>
      </c>
      <c r="D127" s="40" t="s">
        <v>956</v>
      </c>
    </row>
    <row r="128" customFormat="false" ht="15" hidden="false" customHeight="false" outlineLevel="0" collapsed="false">
      <c r="A128" s="86" t="n">
        <v>124</v>
      </c>
      <c r="B128" s="40" t="s">
        <v>1146</v>
      </c>
      <c r="C128" s="87" t="s">
        <v>1147</v>
      </c>
      <c r="D128" s="40" t="s">
        <v>933</v>
      </c>
    </row>
    <row r="129" customFormat="false" ht="15" hidden="false" customHeight="false" outlineLevel="0" collapsed="false">
      <c r="A129" s="86" t="n">
        <v>125</v>
      </c>
      <c r="B129" s="40" t="s">
        <v>1148</v>
      </c>
      <c r="C129" s="87" t="s">
        <v>1149</v>
      </c>
      <c r="D129" s="40" t="s">
        <v>956</v>
      </c>
    </row>
    <row r="130" customFormat="false" ht="15" hidden="false" customHeight="false" outlineLevel="0" collapsed="false">
      <c r="A130" s="86" t="n">
        <v>126</v>
      </c>
      <c r="B130" s="40" t="s">
        <v>1150</v>
      </c>
      <c r="C130" s="87" t="s">
        <v>1151</v>
      </c>
      <c r="D130" s="40" t="s">
        <v>956</v>
      </c>
    </row>
    <row r="131" customFormat="false" ht="15" hidden="false" customHeight="false" outlineLevel="0" collapsed="false">
      <c r="A131" s="86" t="n">
        <v>127</v>
      </c>
      <c r="B131" s="40" t="s">
        <v>1152</v>
      </c>
      <c r="C131" s="87" t="s">
        <v>604</v>
      </c>
      <c r="D131" s="40" t="s">
        <v>951</v>
      </c>
    </row>
    <row r="132" customFormat="false" ht="15" hidden="false" customHeight="false" outlineLevel="0" collapsed="false">
      <c r="A132" s="86" t="n">
        <v>128</v>
      </c>
      <c r="B132" s="40" t="s">
        <v>1153</v>
      </c>
      <c r="C132" s="87" t="s">
        <v>1154</v>
      </c>
      <c r="D132" s="40" t="s">
        <v>1155</v>
      </c>
    </row>
    <row r="133" customFormat="false" ht="15" hidden="false" customHeight="false" outlineLevel="0" collapsed="false">
      <c r="A133" s="86" t="n">
        <v>129</v>
      </c>
      <c r="B133" s="40" t="s">
        <v>1156</v>
      </c>
      <c r="C133" s="87" t="s">
        <v>1157</v>
      </c>
      <c r="D133" s="40" t="s">
        <v>938</v>
      </c>
    </row>
    <row r="134" customFormat="false" ht="15" hidden="false" customHeight="false" outlineLevel="0" collapsed="false">
      <c r="A134" s="86" t="n">
        <v>130</v>
      </c>
      <c r="B134" s="40" t="s">
        <v>1158</v>
      </c>
      <c r="C134" s="87" t="s">
        <v>1159</v>
      </c>
      <c r="D134" s="40" t="s">
        <v>938</v>
      </c>
    </row>
    <row r="135" customFormat="false" ht="15" hidden="false" customHeight="false" outlineLevel="0" collapsed="false">
      <c r="A135" s="86" t="n">
        <v>131</v>
      </c>
      <c r="B135" s="40" t="s">
        <v>1160</v>
      </c>
      <c r="C135" s="87" t="s">
        <v>1161</v>
      </c>
      <c r="D135" s="40" t="s">
        <v>956</v>
      </c>
    </row>
  </sheetData>
  <hyperlinks>
    <hyperlink ref="C5" r:id="rId1" display="https://data.ny.gov/resource/7vem-aaz7.json?$where=swis_code=%27472489%27%20AND%20print_key_code=%27171.-1-18%27"/>
    <hyperlink ref="C6" r:id="rId2" display="https://data.ny.gov/resource/7vem-aaz7.json"/>
    <hyperlink ref="C7" r:id="rId3" display="https://www.propertyshark.com/mason/Property/33812847/207-Main-St-Amagansett-NY-11930/"/>
    <hyperlink ref="C8" r:id="rId4" display="https://ecode360.com/10416540"/>
    <hyperlink ref="C9" r:id="rId5" display="https://ecode360.com/attachment/EA0658/EA0658-255c%20Use%20Table%20-%20Commercial.pdf"/>
    <hyperlink ref="C10" r:id="rId6" display="https://ecode360.com/attachment/EA0658/EA0658-255e%20Business%20Commercial%20Industrial%20-%20Dimensional%20Regs.pdf"/>
    <hyperlink ref="C11" r:id="rId7" display="https://www.ehamptonny.gov/AgendaCenter/ViewFile/Item/2157?fileID=5624"/>
    <hyperlink ref="C12" r:id="rId8" display="https://suffolkcountyny.gov/Portals/0/formsdocs/planning/scplanningcommission/2020/Staff%20Report%20Town%20of%20East%20Hampton%20-%20Comp%20Plan%20amendment%20East%20Hampton%20Hamlet%20Reports%20Amagansett%20a.pdf"/>
    <hyperlink ref="C13" r:id="rId9" display="https://patch.com/new-york/riverhead/marys-marvelous-amagansett-close-new-tenant-sought"/>
    <hyperlink ref="C14" r:id="rId10" display="https://www.27east.com/real-estate-news/marys-marvelous-in-amagansett-to-close-when-new-tenant-is-found-1404430"/>
    <hyperlink ref="C15" r:id="rId11" display="https://www.danspapers.com/2016/12/marys-marvelous-in-amagansett-closing-and-available-to-lease/"/>
    <hyperlink ref="C16" r:id="rId12" display="https://behindthehedges.com/marys-marvelous-in-amagansett-closing-and-available-to-lease/"/>
    <hyperlink ref="C17" r:id="rId13" display="https://behindthehedges.com/marys-marvelous-amagansett-shut-organic-krush-open/"/>
    <hyperlink ref="C18" r:id="rId14" display="https://www.danspapers.com/2017/06/behind-the-hedges-organic-krush-in-amagansett"/>
    <hyperlink ref="C19" r:id="rId15" display="https://27east.com/east-hampton-press/marys-marvelous-leaves-amagansett-organic-krush-to-move-in-1633346"/>
    <hyperlink ref="C20" r:id="rId16" display="https://patch.com/new-york/easthampton/marys-marvelous-sold-organic-krush-set-open-shop"/>
    <hyperlink ref="C21" r:id="rId17" display="https://hamptons.com/real-estate-real-estate-news-23449-organic-cafe-taking-over-marys-marvelous-html/"/>
    <hyperlink ref="C22" r:id="rId18" display="https://marysmarvelous.substack.com/p/the-vacant-storefront-that-held-my"/>
    <hyperlink ref="C23" r:id="rId19" display="https://www.easthamptonstar.com/archive/krush-squeezes-gansett"/>
    <hyperlink ref="C24" r:id="rId20" display="https://www.danspapers.com/2020/04/organic-krush-reopens-amagansett-location"/>
    <hyperlink ref="C25" r:id="rId21" display="https://organickrush.com/locations/"/>
    <hyperlink ref="C26" r:id="rId22" display="https://organickrush.com/organic-krush-menu-amagansett/"/>
    <hyperlink ref="C27" r:id="rId23" display="https://locations.organickrush.com/ny/amagansett/207-main-street"/>
    <hyperlink ref="C28" r:id="rId24" display="https://www.easthamptonstar.com/villages-business/2023216/amagansett-main-street-flux"/>
    <hyperlink ref="C29" r:id="rId25" display="https://easthamptonstar.com/government/2020123/more-parking-amagansett-memorial-day"/>
    <hyperlink ref="C30" r:id="rId26" display="https://richmondbizsense.com/2023/09/18/organic-krush-restaurant-closes-short-pump-outpost-after-4-years/"/>
    <hyperlink ref="C31" r:id="rId27" display="https://richmondbizsense.com/2024/06/17/organic-krush-closes-at-ur-campus-new-eatery-to-open-in-its-place/"/>
    <hyperlink ref="C32" r:id="rId28" display="https://hamptonscommercialre.com/properties/iconic-amagansett-restaurant-turn-key-opportunity/"/>
    <hyperlink ref="C33" r:id="rId29" display="https://www.compass.com/homedetails/74-A-Montauk-Hwy-Amagansett-NY-11930/2070541251466245481_lid/"/>
    <hyperlink ref="C34" r:id="rId30" display="https://www.hamptonsrealestate.com/eng/hampton-rentals/detail/524-l-526-930465/74a-montauk-highway-amagansett-ny-11930"/>
    <hyperlink ref="C35" r:id="rId31" display="https://www.cityfeet.com/cont/listing/74a-montauk-hwy-amagansett-ny-11930/cs39907135"/>
    <hyperlink ref="C36" r:id="rId32" display="https://www.crexi.com/lease/properties/1155311/new-york-74a-montauk-highway---iconic-amagansett-restaurant"/>
    <hyperlink ref="C37" r:id="rId33" display="https://hamptonscommercialre.com/properties/first-floor-commercial-space/"/>
    <hyperlink ref="C38" r:id="rId34" display="https://hamptonscommercialre.com/properties/ground-level-commercial-offering/"/>
    <hyperlink ref="C39" r:id="rId35" display="https://hamptonscommercialre.com/properties/second-floor-amagansett-commercial-flex-space-iconic-building/"/>
    <hyperlink ref="C40" r:id="rId36" display="https://hamptonscommercialre.com/properties/premier-amagansett-commercial-assemblage-136-main-street-11-indian-wells-hwy-amagansett/"/>
    <hyperlink ref="C41" r:id="rId37" display="https://www.crexi.com/lease/properties/718872/new-york-11-indian-wells-hwy"/>
    <hyperlink ref="C42" r:id="rId38" display="https://www.loopnet.com/Listing/136-Main-St-Amagansett-NY/32986784/"/>
    <hyperlink ref="C43" r:id="rId39" display="https://hamptonscommercialre.com/properties/retail-end-cap-prime-visibility/"/>
    <hyperlink ref="C44" r:id="rId40" display="https://www.compass.com/agents/the-hamptons-commercial-real-estate-team/"/>
    <hyperlink ref="C45" r:id="rId41" display="https://www.compass.com/listing/136-main-street-amagansett-ny-11930/1819738165409919177/"/>
    <hyperlink ref="C46" r:id="rId42" display="https://www.compass.com/homedetails/2095-Montauk-Hwy-Amagansett-NY-11930/1826297907410452777_lid/"/>
    <hyperlink ref="C47" r:id="rId43" display="https://behindthehedges.com/fall-2024-food-market-commercial-real-estate"/>
    <hyperlink ref="C48" r:id="rId44" display="https://www.tenantbase.com/us/building/196079"/>
    <hyperlink ref="C49" r:id="rId45" display="https://behindthehedges.com/amagansett-commercial-property-lists-8-million"/>
    <hyperlink ref="C50" r:id="rId46" display="https://www.cityfeet.com/cont/listing/519-521-montauk-hwy-amagansett-ny-11930/cs39871633"/>
    <hyperlink ref="C51" r:id="rId47" display="https://www.corcoran.com/listing/for-rent/249-main-street-amagansett-ny-11930/5981523/regionId/3"/>
    <hyperlink ref="C52" r:id="rId48" display="https://hamptonscommercialre.com/properties-sitemap.xml"/>
    <hyperlink ref="C53" r:id="rId49" display="https://www.loopnet.com/search/retail-space/amagansett-ny/for-lease/"/>
    <hyperlink ref="C54" r:id="rId50" display="https://hamptonscommercialre.com/properties/17-s-edison-st-montauk-restaurant/"/>
    <hyperlink ref="C55" r:id="rId51" display="https://hamptonscommercialre.com/properties/retail-storefront-in-the-core-shopping-district-of-east-hampton-village/"/>
    <hyperlink ref="C56" r:id="rId52" display="https://hamptonscommercialre.com/properties/prime-east-hampton-village-retail/"/>
    <hyperlink ref="C57" r:id="rId53" display="https://traded.co/deals/new-york/retail/lease/53-the-circle-1/"/>
    <hyperlink ref="C58" r:id="rId54" display="https://traded.co/deals/new-york/retail/lease/53-the-circle/"/>
    <hyperlink ref="C59" r:id="rId55" display="https://traded.co/deals/new-york/retail/lease/48-main-street/"/>
    <hyperlink ref="C60" r:id="rId56" display="https://hamptonscommercialre.com/properties/east-hampton-village-retail-two-boutique-units-available-for-lease/"/>
    <hyperlink ref="C61" r:id="rId57" display="https://hamptonscommercialre.com/properties/one-of-a-kind-retail-outlet-with-character-in-east-hampton/"/>
    <hyperlink ref="C62" r:id="rId58" display="https://hamptonscommercialre.com/properties/70-main-street-floor-1-southampton-retail-for-lease/"/>
    <hyperlink ref="C63" r:id="rId59" display="https://hamptonscommercialre.com/properties/a-rare-commercial-opportunity-at-the-crossroads-of-the-hamptons-most-prestigious-corridor/"/>
    <hyperlink ref="C64" r:id="rId60" display="https://www.cityfeet.com/cont/listing/81-montauk-hwy-wainscott-ny-11975/cs41480188"/>
    <hyperlink ref="C65" r:id="rId61" display="https://www.bizquest.com/real-estate-for-lease/premier-westhampton-restaurant-opportunity/BW2453378"/>
    <hyperlink ref="C66" r:id="rId62" display="https://hamptonscommercialre.com/properties/high-visibility-boutique-space/"/>
    <hyperlink ref="C67" r:id="rId63" display="https://hamptonscommercialre.com/properties/sag-harbor-main-street-retail/"/>
    <hyperlink ref="C68" r:id="rId64" display="https://hamptonscommercialre.com/properties/inline-retail-store-in-southamptons-cultural-hub/"/>
    <hyperlink ref="C69" r:id="rId65" display="https://hamptonscommercialre.com/properties/1-windmill-lane-7-hill-st-southampton/"/>
    <hyperlink ref="C70" r:id="rId66" display="https://hamptonscommercialre.com/properties/southampton-village-grocery-opportunity-at-15-hill-street-unit-b-southampton-ny/"/>
    <hyperlink ref="C71" r:id="rId67" display="https://behindthehedges.com/bar-restaurant-available-lease-highly-visible/"/>
    <hyperlink ref="C72" r:id="rId68" display="https://hamptonscommercialre.com/properties/highly-visible-restaurant-bar-on-montauk-highway-with-an-established-following/"/>
    <hyperlink ref="C73" r:id="rId69" display="https://hamptonscommercialre.com/properties/freestanding-commercial-building-rare-vb-zoned-property-with-private-parking-in-the-southampton-village-core/"/>
    <hyperlink ref="C74" r:id="rId70" display="https://hamptonscommercialre.com/properties/southampton-village-retail-highly-recognized-freestanding-building-for-sale/"/>
    <hyperlink ref="C75" r:id="rId71" display="https://hamptonscommercialre.com/properties/3000sf-multi-structure-property-in-the-sag-harbor-village-office-district/"/>
    <hyperlink ref="C76" r:id="rId72" display="https://rightspacecre.com/blog/what-are-triple-net-nnn-charges-in-a-commercial-lease"/>
    <hyperlink ref="C77" r:id="rId73" display="https://patch.com/new-york/easthampton/gone-local-goes-looking-for-a-new-space"/>
    <hyperlink ref="C78" r:id="rId74" display="https://www.easthamptonstar.com/archive/square-dance-amagansett"/>
    <hyperlink ref="C79" r:id="rId75" display="https://www.easthamptonstar.com/archive/lifestyle-shops-fill-gansett-square-capacity"/>
    <hyperlink ref="C80" r:id="rId76" display="https://easthamptonstar.com/villages/2021527/hampton-chutney-co-squeezed-out-square"/>
    <hyperlink ref="C81" r:id="rId77" display="https://easthamptonstar.com/business-food/2021812/marvelous-new-home-hampton-chutney-co"/>
    <hyperlink ref="C82" r:id="rId78" display="https://www.easthamptonstar.com/food/2025925/adios-coche-comedor"/>
    <hyperlink ref="C83" r:id="rId79" display="https://therealdeal.com/tristate/issues_articles/the-hamptons-new-hotspots"/>
    <hyperlink ref="C84" r:id="rId80" display="https://behindthehedges.com/final-figure-amagansett-restaurant-sells-4-5m"/>
    <hyperlink ref="C85" r:id="rId81" display="https://www.danspapers.com/2020/02/highway-restaurant-buys-indian-wells-tavern"/>
    <hyperlink ref="C86" r:id="rId82" display="https://www.danspapers.com/2022/10/amagansett-main-street-tavern-restaurant-building-for-sale"/>
    <hyperlink ref="C87" r:id="rId83" display="https://27east.com/east-hampton-press/rowdy-hall-to-move-from-east-hampton-village-to-amagansett-after-summer-2159344"/>
    <hyperlink ref="C88" r:id="rId84" display="https://behindthehedges.com/amagansett-applied-arts-building-sells-5-2-m"/>
    <hyperlink ref="C89" r:id="rId85" display="https://www.easthamptonstar.com/business/2022317/recorded-deeds-031722"/>
    <hyperlink ref="C90" r:id="rId86" display="https://easthamptonstar.com/villages-business/202672/amagansetts-west-end-sees-business-boom"/>
    <hyperlink ref="C91" r:id="rId87" display="https://www.easthamptonstar.com/archive/village-going-going"/>
    <hyperlink ref="C92" r:id="rId88" display="https://therealdeal.com/magazine/new-york-june-2009/retail-cools-in-hamptons"/>
    <hyperlink ref="C93" r:id="rId89" display="https://www.corcoran.com/nyc/press-mention/display/12619"/>
    <hyperlink ref="C94" r:id="rId90" display="https://www.27east.com/real-estate-news/pulse-points-1407695"/>
    <hyperlink ref="C95" r:id="rId91" display="https://therealdeal.com/magazine/new-york-july-2017/fashion-and-furnishings-lead-a-retail-revival-in-southampton/"/>
    <hyperlink ref="C96" r:id="rId92" display="https://therealdeal.com/new-york/tristate/2019/06/03/revolving-retail-in-the-hamptons/"/>
    <hyperlink ref="C97" r:id="rId93" display="https://www.easthamptonstar.com/villages/202192/general-store-east-hampton-its-challenge"/>
    <hyperlink ref="C98" r:id="rId94" display="https://behindthehedges.com/southampton-restaurant-sale-first-time-20/"/>
    <hyperlink ref="C99" r:id="rId95" display="https://behindthehedges.com/hamptons-commercial-real-estate-market/"/>
    <hyperlink ref="C100" r:id="rId96" display="https://behindthehedges.com/premier-retail-building-downtown-montauk-10m/"/>
    <hyperlink ref="C101" r:id="rId97" display="https://behindthehedges.com/montauk-retail-plaza-cheaper"/>
    <hyperlink ref="C102" r:id="rId98" display="https://hamptons.com/real-estate-land-and-law-21731-exploring-the-east-end-commercial-real-estate-html/"/>
    <hyperlink ref="C103" r:id="rId99" display="https://www.easthamptonstar.com/archive/corner-building-1075-million"/>
    <hyperlink ref="C104" r:id="rId100" display="https://wwd.com/business-news/retail/hamptons-retail-scene-whats-new-for-summer-2026-1238932696/"/>
    <hyperlink ref="C105" r:id="rId101" display="https://therealdeal.com/magazine/june-2025/not-a-vanity-play/"/>
    <hyperlink ref="C106" r:id="rId102" display="https://therealdeal.com/new-york/tristate/2026/05/25/what-to-know-as-hamptons-summer-season-begins/"/>
    <hyperlink ref="C107" r:id="rId103" display="https://www.osc.ny.gov/press/releases/2026/07/dinapoli-local-sales-tax-collections-total-127-billion-first-half-2026-68-over-last-year"/>
    <hyperlink ref="C108" r:id="rId104" display="https://www.27east.com/east-hampton-press/news/government/article_2c6df056-ba7d-486e-b086-00d254e2632f.html"/>
    <hyperlink ref="C109" r:id="rId105" display="https://easthamptonstar.com/government/202635/amagansett-sidewalk-beautification-works"/>
    <hyperlink ref="C110" r:id="rId106" display="https://dol.ny.gov/minimum-wage-0"/>
    <hyperlink ref="C111" r:id="rId107" display="https://dol.ny.gov/system/files/documents/2025/12/p717_12-25.pdf"/>
    <hyperlink ref="C112" r:id="rId108" display="https://www.nrn.com/restaurant-insights/restaurant-industry-faces-modest-growth-amid-cost-pressures-in-2026"/>
    <hyperlink ref="C113" r:id="rId109" display="https://www.appraisalinstitute.org/getattachment/efe3dcf2-80e0-4565-97a0-9c643479e512/Market-Rent-and-Highest-and-Best-Use.pdf"/>
    <hyperlink ref="C114" r:id="rId110" display="https://www.law.cornell.edu/cfr/text/12/323.2"/>
    <hyperlink ref="C115" r:id="rId111" display="https://compstak.com/blog/net-effective-rent-vs-asking-rent-cre-underwriting"/>
    <hyperlink ref="C116" r:id="rId112" display="https://compstak.com/blog/retail-rent-concession-trends-compstak-lease-data"/>
    <hyperlink ref="C117" r:id="rId113" display="https://www.schuckmanrealty.com/nassau-and-suffolk-retail-a-landlords-market-that-just-keeps-getting-tighter/"/>
    <hyperlink ref="C118" r:id="rId114" display="https://27east.com/east-hampton-press/a-new-public-park-and-parking-for-amagansett-2286972"/>
    <hyperlink ref="C119" r:id="rId115" display="https://www.easthamptonstar.com/food/2026416/news-foodies-041626"/>
    <hyperlink ref="C120" r:id="rId116" display="https://www.27east.com/food-drinks/wolffer-kitchen-sag-harbors-lease-is-up-for-sale-while-the-restaurant-remains-open-1677330"/>
    <hyperlink ref="C121" r:id="rId117" display="https://behindthehedges.com/historic-springs-tavern-now-for-sale-in-east-hampton/"/>
    <hyperlink ref="C122" r:id="rId118" display="https://hamptonscommercialre.com/closed-deals/"/>
    <hyperlink ref="C123" r:id="rId119" display="https://sociallifemagazine.com/luxury-lifestyle/amagansett-restaurants-2026/"/>
    <hyperlink ref="C124" r:id="rId120" display="https://www.easthamptonstar.com/government/20251113/new-lights-near-amagansetts-main-street"/>
    <hyperlink ref="C125" r:id="rId121" display="https://www.danspapers.com/2019/11/healthy-organic-krush"/>
    <hyperlink ref="C126" r:id="rId122" display="https://www.yelp.com/biz/organic-krush-kitchen-and-eatery-amagansett"/>
    <hyperlink ref="C127" r:id="rId123" display="https://www.easthamptonstar.com/government/202298/sea-change-amagansett-main-street"/>
    <hyperlink ref="C128" r:id="rId124" display="https://www.ehamptonny.gov/DocumentCenter/View/2291/Fine-Arts-Amagansett-Presentation-June-3-2017-PDF"/>
    <hyperlink ref="C129" r:id="rId125" display="https://www.easthamptonstar.com/archive/outdoors-heading-out"/>
    <hyperlink ref="C130" r:id="rId126" display="https://www.27east.com/real-estate-news/tenants-sought-for-former-cvs-pharmacy-site-in-bridgehampton-2-1410257/"/>
    <hyperlink ref="C131" r:id="rId127" display="https://behindthehedges.com/two-commercial-properties-in-montauk-back-on-the-market/"/>
    <hyperlink ref="C132" r:id="rId128" display="https://www.nycourts.gov/reporter/3dseries/2024/2024_05898.htm"/>
    <hyperlink ref="C133" r:id="rId129" display="https://www.happycow.net/reviews/organic-krush-stony-brook-278874"/>
    <hyperlink ref="C134" r:id="rId130" display="https://www.yelp.com/biz/organic-krush-new-hyde-park"/>
    <hyperlink ref="C135" r:id="rId131" display="https://www.easthamptonstar.com/archive/poxy-third-time-char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2026-10-07T21:52:05Z</dcterms:created>
  <dc:creator>openpyxl</dc:creator>
  <dc:description/>
  <dc:language>en-US</dc:language>
  <cp:lastModifiedBy/>
  <dcterms:modified xsi:type="dcterms:W3CDTF">2026-10-07T21:52:05Z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